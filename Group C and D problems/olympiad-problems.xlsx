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blems" sheetId="1" r:id="rId1"/>
    <sheet name="Summary" sheetId="2" r:id="rId2"/>
  </sheets>
  <definedNames>
    <definedName name="_xlnm._FilterDatabase" localSheetId="0" hidden="1">Problems!$A$1:$L$769</definedName>
  </definedName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sz val="11"/>
      <color rgb="FF1F3864"/>
      <name val="Calibri"/>
    </font>
    <font>
      <u/>
      <sz val="11"/>
      <color rgb="FF0563C1"/>
      <name val="Calibri"/>
    </font>
    <font>
      <b/>
      <sz val="11"/>
      <color rgb="FF1F386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F2D9"/>
        <bgColor indexed="64"/>
      </patternFill>
    </fill>
    <fill>
      <patternFill patternType="solid">
        <fgColor rgb="FFEAF7D6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E0C7"/>
        <bgColor indexed="64"/>
      </patternFill>
    </fill>
    <fill>
      <patternFill patternType="solid">
        <fgColor rgb="FFF8D0D0"/>
        <bgColor indexed="64"/>
      </patternFill>
    </fill>
    <fill>
      <patternFill patternType="solid">
        <fgColor rgb="FFEDF2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8" borderId="1" xfId="0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76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3" width="7" customWidth="1"/>
    <col min="4" max="4" width="7" customWidth="1"/>
    <col min="5" max="5" width="11" customWidth="1"/>
    <col min="6" max="6" width="13" customWidth="1"/>
    <col min="7" max="7" width="26" customWidth="1"/>
    <col min="8" max="8" width="26" customWidth="1"/>
    <col min="9" max="9" width="42" customWidth="1"/>
    <col min="10" max="10" width="62" customWidth="1"/>
    <col min="11" max="11" width="40" customWidth="1"/>
    <col min="12" max="12" width="46" customWidth="1"/>
  </cols>
  <sheetData>
    <row r="1" ht="22" customHeight="1">
      <c r="A1" s="1" t="inlineStr">
        <is>
          <t xml:space="preserve">Problem</t>
        </is>
      </c>
      <c r="B1" s="1" t="inlineStr">
        <is>
          <t xml:space="preserve">Competition</t>
        </is>
      </c>
      <c r="C1" s="1" t="inlineStr">
        <is>
          <t xml:space="preserve">Group</t>
        </is>
      </c>
      <c r="D1" s="1" t="inlineStr">
        <is>
          <t xml:space="preserve">Year</t>
        </is>
      </c>
      <c r="E1" s="1" t="inlineStr">
        <is>
          <t xml:space="preserve">Difficulty</t>
        </is>
      </c>
      <c r="F1" s="1" t="inlineStr">
        <is>
          <t xml:space="preserve">Level</t>
        </is>
      </c>
      <c r="G1" s="1" t="inlineStr">
        <is>
          <t xml:space="preserve">Primary algorithm</t>
        </is>
      </c>
      <c r="H1" s="1" t="inlineStr">
        <is>
          <t xml:space="preserve">Secondary algorithm</t>
        </is>
      </c>
      <c r="I1" s="1" t="inlineStr">
        <is>
          <t xml:space="preserve">Techniques</t>
        </is>
      </c>
      <c r="J1" s="1" t="inlineStr">
        <is>
          <t xml:space="preserve">Idea / approach</t>
        </is>
      </c>
      <c r="K1" s="1" t="inlineStr">
        <is>
          <t xml:space="preserve">Official site tags</t>
        </is>
      </c>
      <c r="L1" s="1" t="inlineStr">
        <is>
          <t xml:space="preserve">Link</t>
        </is>
      </c>
    </row>
    <row r="2">
      <c r="A2" s="2" t="inlineStr">
        <is>
          <t xml:space="preserve">maxi</t>
        </is>
      </c>
      <c r="B2" s="2" t="inlineStr">
        <is>
          <t xml:space="preserve">Autumn tournament</t>
        </is>
      </c>
      <c r="C2" s="8" t="inlineStr">
        <is>
          <t xml:space="preserve">C</t>
        </is>
      </c>
      <c r="D2" s="8">
        <v>2007</v>
      </c>
      <c r="E2" s="4">
        <v>2</v>
      </c>
      <c r="F2" s="2" t="inlineStr">
        <is>
          <t xml:space="preserve">Easy</t>
        </is>
      </c>
      <c r="G2" s="2" t="inlineStr">
        <is>
          <t xml:space="preserve">Brute force</t>
        </is>
      </c>
      <c r="H2" s="2" t="inlineStr">
        <is>
          <t xml:space="preserve"/>
        </is>
      </c>
      <c r="I2" s="2" t="inlineStr">
        <is>
          <t xml:space="preserve">2D arrays, Nested loops</t>
        </is>
      </c>
      <c r="J2" s="2" t="inlineStr">
        <is>
          <t xml:space="preserve">Try every L-shaped/straight triple of adjacent cells in a tiny grid</t>
        </is>
      </c>
      <c r="K2" s="2" t="inlineStr">
        <is>
          <t xml:space="preserve"/>
        </is>
      </c>
      <c r="L2" s="9" t="str">
        <f>HYPERLINK("https://arena.olimpiici.com/#/catalog/13/problem/100007","open problem")</f>
        <v>open problem</v>
      </c>
    </row>
    <row r="3">
      <c r="A3" s="2" t="inlineStr">
        <is>
          <t xml:space="preserve">rebus</t>
        </is>
      </c>
      <c r="B3" s="2" t="inlineStr">
        <is>
          <t xml:space="preserve">Autumn tournament</t>
        </is>
      </c>
      <c r="C3" s="8" t="inlineStr">
        <is>
          <t xml:space="preserve">C</t>
        </is>
      </c>
      <c r="D3" s="8">
        <v>2007</v>
      </c>
      <c r="E3" s="5">
        <v>3</v>
      </c>
      <c r="F3" s="2" t="inlineStr">
        <is>
          <t xml:space="preserve">Medium</t>
        </is>
      </c>
      <c r="G3" s="2" t="inlineStr">
        <is>
          <t xml:space="preserve">Brute force</t>
        </is>
      </c>
      <c r="H3" s="2" t="inlineStr">
        <is>
          <t xml:space="preserve">String processing</t>
        </is>
      </c>
      <c r="I3" s="2" t="inlineStr">
        <is>
          <t xml:space="preserve">Strings, Chars, Long long, Nested loops</t>
        </is>
      </c>
      <c r="J3" s="2" t="inlineStr">
        <is>
          <t xml:space="preserve">Cryptarithm with &lt;=3 letters: try all digit assignments, verify equality</t>
        </is>
      </c>
      <c r="K3" s="2" t="inlineStr">
        <is>
          <t xml:space="preserve"/>
        </is>
      </c>
      <c r="L3" s="9" t="str">
        <f>HYPERLINK("https://arena.olimpiici.com/#/catalog/13/problem/100008","open problem")</f>
        <v>open problem</v>
      </c>
    </row>
    <row r="4">
      <c r="A4" s="2" t="inlineStr">
        <is>
          <t xml:space="preserve">names</t>
        </is>
      </c>
      <c r="B4" s="2" t="inlineStr">
        <is>
          <t xml:space="preserve">Autumn tournament</t>
        </is>
      </c>
      <c r="C4" s="8" t="inlineStr">
        <is>
          <t xml:space="preserve">C</t>
        </is>
      </c>
      <c r="D4" s="8">
        <v>2007</v>
      </c>
      <c r="E4" s="6">
        <v>4</v>
      </c>
      <c r="F4" s="2" t="inlineStr">
        <is>
          <t xml:space="preserve">Hard</t>
        </is>
      </c>
      <c r="G4" s="2" t="inlineStr">
        <is>
          <t xml:space="preserve">Ad hoc / Observation</t>
        </is>
      </c>
      <c r="H4" s="2" t="inlineStr">
        <is>
          <t xml:space="preserve">Counting / Frequency arrays</t>
        </is>
      </c>
      <c r="I4" s="2" t="inlineStr">
        <is>
          <t xml:space="preserve">Strings, I/O parsing, Memory optimization</t>
        </is>
      </c>
      <c r="J4" s="2" t="inlineStr">
        <is>
          <t xml:space="preserve">Majority element (Boyer-Moore vote) under a 1 MB memory cap</t>
        </is>
      </c>
      <c r="K4" s="2" t="inlineStr">
        <is>
          <t xml:space="preserve">Ограничена памет / Limited memory</t>
        </is>
      </c>
      <c r="L4" s="9" t="str">
        <f>HYPERLINK("https://arena.olimpiici.com/#/catalog/13/problem/100009","open problem")</f>
        <v>open problem</v>
      </c>
    </row>
    <row r="5">
      <c r="A5" s="2" t="inlineStr">
        <is>
          <t xml:space="preserve">pal</t>
        </is>
      </c>
      <c r="B5" s="2" t="inlineStr">
        <is>
          <t xml:space="preserve">Autumn tournament</t>
        </is>
      </c>
      <c r="C5" s="8" t="inlineStr">
        <is>
          <t xml:space="preserve">C</t>
        </is>
      </c>
      <c r="D5" s="8">
        <v>2008</v>
      </c>
      <c r="E5" s="6">
        <v>4</v>
      </c>
      <c r="F5" s="2" t="inlineStr">
        <is>
          <t xml:space="preserve">Hard</t>
        </is>
      </c>
      <c r="G5" s="2" t="inlineStr">
        <is>
          <t xml:space="preserve">Dynamic programming</t>
        </is>
      </c>
      <c r="H5" s="2" t="inlineStr">
        <is>
          <t xml:space="preserve">String processing</t>
        </is>
      </c>
      <c r="I5" s="2" t="inlineStr">
        <is>
          <t xml:space="preserve">Arrays, 2D arrays, Strings</t>
        </is>
      </c>
      <c r="J5" s="2" t="inlineStr">
        <is>
          <t xml:space="preserve">Longest palindromic subsequence, lexicographically smallest reconstruction</t>
        </is>
      </c>
      <c r="K5" s="2" t="inlineStr">
        <is>
          <t xml:space="preserve"/>
        </is>
      </c>
      <c r="L5" s="9" t="str">
        <f>HYPERLINK("https://arena.olimpiici.com/#/catalog/19/problem/100022","open problem")</f>
        <v>open problem</v>
      </c>
    </row>
    <row r="6">
      <c r="A6" s="2" t="inlineStr">
        <is>
          <t xml:space="preserve">peb</t>
        </is>
      </c>
      <c r="B6" s="2" t="inlineStr">
        <is>
          <t xml:space="preserve">Autumn tournament</t>
        </is>
      </c>
      <c r="C6" s="8" t="inlineStr">
        <is>
          <t xml:space="preserve">C</t>
        </is>
      </c>
      <c r="D6" s="8">
        <v>2008</v>
      </c>
      <c r="E6" s="5">
        <v>3</v>
      </c>
      <c r="F6" s="2" t="inlineStr">
        <is>
          <t xml:space="preserve">Medium</t>
        </is>
      </c>
      <c r="G6" s="2" t="inlineStr">
        <is>
          <t xml:space="preserve">Graph traversal (BFS/DFS)</t>
        </is>
      </c>
      <c r="H6" s="2" t="inlineStr">
        <is>
          <t xml:space="preserve">Game theory</t>
        </is>
      </c>
      <c r="I6" s="2" t="inlineStr">
        <is>
          <t xml:space="preserve">Queues, 3D arrays, Structs</t>
        </is>
      </c>
      <c r="J6" s="2" t="inlineStr">
        <is>
          <t xml:space="preserve">BFS over (a,b,c) pile states to find minimum number of moves</t>
        </is>
      </c>
      <c r="K6" s="2" t="inlineStr">
        <is>
          <t xml:space="preserve">Графи / Търсене в ширина (BFS); Игри / Теория на игрите</t>
        </is>
      </c>
      <c r="L6" s="9" t="str">
        <f>HYPERLINK("https://arena.olimpiici.com/#/catalog/19/problem/100023","open problem")</f>
        <v>open problem</v>
      </c>
    </row>
    <row r="7">
      <c r="A7" s="2" t="inlineStr">
        <is>
          <t xml:space="preserve">banka</t>
        </is>
      </c>
      <c r="B7" s="2" t="inlineStr">
        <is>
          <t xml:space="preserve">Autumn tournament</t>
        </is>
      </c>
      <c r="C7" s="8" t="inlineStr">
        <is>
          <t xml:space="preserve">C</t>
        </is>
      </c>
      <c r="D7" s="8">
        <v>2008</v>
      </c>
      <c r="E7" s="6">
        <v>4</v>
      </c>
      <c r="F7" s="2" t="inlineStr">
        <is>
          <t xml:space="preserve">Hard</t>
        </is>
      </c>
      <c r="G7" s="2" t="inlineStr">
        <is>
          <t xml:space="preserve">Combinatorics</t>
        </is>
      </c>
      <c r="H7" s="2" t="inlineStr">
        <is>
          <t xml:space="preserve">Constructive</t>
        </is>
      </c>
      <c r="I7" s="2" t="inlineStr">
        <is>
          <t xml:space="preserve">Arrays, Long long, Math</t>
        </is>
      </c>
      <c r="J7" s="2" t="inlineStr">
        <is>
          <t xml:space="preserve">Decode the N-th lexicographic permutation via factorial number system</t>
        </is>
      </c>
      <c r="K7" s="2" t="inlineStr">
        <is>
          <t xml:space="preserve"/>
        </is>
      </c>
      <c r="L7" s="9" t="str">
        <f>HYPERLINK("https://arena.olimpiici.com/#/catalog/19/problem/100024","open problem")</f>
        <v>open problem</v>
      </c>
    </row>
    <row r="8">
      <c r="A8" s="2" t="inlineStr">
        <is>
          <t xml:space="preserve">rich</t>
        </is>
      </c>
      <c r="B8" s="2" t="inlineStr">
        <is>
          <t xml:space="preserve">Autumn tournament</t>
        </is>
      </c>
      <c r="C8" s="8" t="inlineStr">
        <is>
          <t xml:space="preserve">C</t>
        </is>
      </c>
      <c r="D8" s="8">
        <v>2009</v>
      </c>
      <c r="E8" s="5">
        <v>3</v>
      </c>
      <c r="F8" s="2" t="inlineStr">
        <is>
          <t xml:space="preserve">Medium</t>
        </is>
      </c>
      <c r="G8" s="2" t="inlineStr">
        <is>
          <t xml:space="preserve">Binary search</t>
        </is>
      </c>
      <c r="H8" s="2" t="inlineStr">
        <is>
          <t xml:space="preserve">Greedy</t>
        </is>
      </c>
      <c r="I8" s="2" t="inlineStr">
        <is>
          <t xml:space="preserve">Arrays, Long long, Memory optimization</t>
        </is>
      </c>
      <c r="J8" s="2" t="inlineStr">
        <is>
          <t xml:space="preserve">Binary search the final minimum level, check coins needed to reach it</t>
        </is>
      </c>
      <c r="K8" s="2" t="inlineStr">
        <is>
          <t xml:space="preserve">Двоично търсене по отговора (binary search)</t>
        </is>
      </c>
      <c r="L8" s="9" t="str">
        <f>HYPERLINK("https://arena.olimpiici.com/#/catalog/25/problem/100037","open problem")</f>
        <v>open problem</v>
      </c>
    </row>
    <row r="9">
      <c r="A9" s="2" t="inlineStr">
        <is>
          <t xml:space="preserve">triples</t>
        </is>
      </c>
      <c r="B9" s="2" t="inlineStr">
        <is>
          <t xml:space="preserve">Autumn tournament</t>
        </is>
      </c>
      <c r="C9" s="8" t="inlineStr">
        <is>
          <t xml:space="preserve">C</t>
        </is>
      </c>
      <c r="D9" s="8">
        <v>2009</v>
      </c>
      <c r="E9" s="6">
        <v>4</v>
      </c>
      <c r="F9" s="2" t="inlineStr">
        <is>
          <t xml:space="preserve">Hard</t>
        </is>
      </c>
      <c r="G9" s="2" t="inlineStr">
        <is>
          <t xml:space="preserve">Dynamic programming</t>
        </is>
      </c>
      <c r="H9" s="2" t="inlineStr">
        <is>
          <t xml:space="preserve">Greedy</t>
        </is>
      </c>
      <c r="I9" s="2" t="inlineStr">
        <is>
          <t xml:space="preserve">Sorting, Arrays, Long long</t>
        </is>
      </c>
      <c r="J9" s="2" t="inlineStr">
        <is>
          <t xml:space="preserve">Split values into singles/pairs/triples maximizing sum; negatives matter</t>
        </is>
      </c>
      <c r="K9" s="2" t="inlineStr">
        <is>
          <t xml:space="preserve">Динамично програмиране (Dynamic programming)</t>
        </is>
      </c>
      <c r="L9" s="9" t="str">
        <f>HYPERLINK("https://arena.olimpiici.com/#/catalog/25/problem/100038","open problem")</f>
        <v>open problem</v>
      </c>
    </row>
    <row r="10">
      <c r="A10" s="2" t="inlineStr">
        <is>
          <t xml:space="preserve">formula1</t>
        </is>
      </c>
      <c r="B10" s="2" t="inlineStr">
        <is>
          <t xml:space="preserve">Autumn tournament</t>
        </is>
      </c>
      <c r="C10" s="8" t="inlineStr">
        <is>
          <t xml:space="preserve">C</t>
        </is>
      </c>
      <c r="D10" s="8">
        <v>2009</v>
      </c>
      <c r="E10" s="4">
        <v>2</v>
      </c>
      <c r="F10" s="2" t="inlineStr">
        <is>
          <t xml:space="preserve">Easy</t>
        </is>
      </c>
      <c r="G10" s="2" t="inlineStr">
        <is>
          <t xml:space="preserve">Sorting</t>
        </is>
      </c>
      <c r="H10" s="2" t="inlineStr">
        <is>
          <t xml:space="preserve">Implementation / Simulation</t>
        </is>
      </c>
      <c r="I10" s="2" t="inlineStr">
        <is>
          <t xml:space="preserve">Structs, Sorting, Maps, File I/O</t>
        </is>
      </c>
      <c r="J10" s="2" t="inlineStr">
        <is>
          <t xml:space="preserve">Accumulate F1 points per driver, sort with a placement tie-break</t>
        </is>
      </c>
      <c r="K10" s="2" t="inlineStr">
        <is>
          <t xml:space="preserve"/>
        </is>
      </c>
      <c r="L10" s="9" t="str">
        <f>HYPERLINK("https://arena.olimpiici.com/#/catalog/25/problem/100039","open problem")</f>
        <v>open problem</v>
      </c>
    </row>
    <row r="11">
      <c r="A11" s="2" t="inlineStr">
        <is>
          <t xml:space="preserve">unique</t>
        </is>
      </c>
      <c r="B11" s="2" t="inlineStr">
        <is>
          <t xml:space="preserve">Autumn tournament</t>
        </is>
      </c>
      <c r="C11" s="8" t="inlineStr">
        <is>
          <t xml:space="preserve">C</t>
        </is>
      </c>
      <c r="D11" s="8">
        <v>2010</v>
      </c>
      <c r="E11" s="7">
        <v>5</v>
      </c>
      <c r="F11" s="2" t="inlineStr">
        <is>
          <t xml:space="preserve">Very hard</t>
        </is>
      </c>
      <c r="G11" s="2" t="inlineStr">
        <is>
          <t xml:space="preserve">Dynamic programming</t>
        </is>
      </c>
      <c r="H11" s="2" t="inlineStr">
        <is>
          <t xml:space="preserve">Combinatorics</t>
        </is>
      </c>
      <c r="I11" s="2" t="inlineStr">
        <is>
          <t xml:space="preserve">Strings, Big integers, Bitmask</t>
        </is>
      </c>
      <c r="J11" s="2" t="inlineStr">
        <is>
          <t xml:space="preserve">Digit DP with a used-digit bitmask over bounds up to 10^100</t>
        </is>
      </c>
      <c r="K11" s="2" t="inlineStr">
        <is>
          <t xml:space="preserve"/>
        </is>
      </c>
      <c r="L11" s="9" t="str">
        <f>HYPERLINK("https://arena.olimpiici.com/#/catalog/31/problem/100052","open problem")</f>
        <v>open problem</v>
      </c>
    </row>
    <row r="12">
      <c r="A12" s="2" t="inlineStr">
        <is>
          <t xml:space="preserve">power</t>
        </is>
      </c>
      <c r="B12" s="2" t="inlineStr">
        <is>
          <t xml:space="preserve">Autumn tournament</t>
        </is>
      </c>
      <c r="C12" s="8" t="inlineStr">
        <is>
          <t xml:space="preserve">C</t>
        </is>
      </c>
      <c r="D12" s="8">
        <v>2010</v>
      </c>
      <c r="E12" s="5">
        <v>3</v>
      </c>
      <c r="F12" s="2" t="inlineStr">
        <is>
          <t xml:space="preserve">Medium</t>
        </is>
      </c>
      <c r="G12" s="2" t="inlineStr">
        <is>
          <t xml:space="preserve">Number theory</t>
        </is>
      </c>
      <c r="H12" s="2" t="inlineStr">
        <is>
          <t xml:space="preserve">Math / Formula</t>
        </is>
      </c>
      <c r="I12" s="2" t="inlineStr">
        <is>
          <t xml:space="preserve">Loops, Long long, Modular arithmetic</t>
        </is>
      </c>
      <c r="J12" s="2" t="inlineStr">
        <is>
          <t xml:space="preserve">Sum a_i^(i+1) mod m along the diagonal using fast exponentiation</t>
        </is>
      </c>
      <c r="K12" s="2" t="inlineStr">
        <is>
          <t xml:space="preserve"/>
        </is>
      </c>
      <c r="L12" s="9" t="str">
        <f>HYPERLINK("https://arena.olimpiici.com/#/catalog/31/problem/100053","open problem")</f>
        <v>open problem</v>
      </c>
    </row>
    <row r="13">
      <c r="A13" s="2" t="inlineStr">
        <is>
          <t xml:space="preserve">prettynum</t>
        </is>
      </c>
      <c r="B13" s="2" t="inlineStr">
        <is>
          <t xml:space="preserve">Autumn tournament</t>
        </is>
      </c>
      <c r="C13" s="8" t="inlineStr">
        <is>
          <t xml:space="preserve">C</t>
        </is>
      </c>
      <c r="D13" s="8">
        <v>2010</v>
      </c>
      <c r="E13" s="6">
        <v>4</v>
      </c>
      <c r="F13" s="2" t="inlineStr">
        <is>
          <t xml:space="preserve">Hard</t>
        </is>
      </c>
      <c r="G13" s="2" t="inlineStr">
        <is>
          <t xml:space="preserve">Two pointers / Sliding window</t>
        </is>
      </c>
      <c r="H13" s="2" t="inlineStr">
        <is>
          <t xml:space="preserve">Greedy</t>
        </is>
      </c>
      <c r="I13" s="2" t="inlineStr">
        <is>
          <t xml:space="preserve">Arrays, Strings, Counting array</t>
        </is>
      </c>
      <c r="J13" s="2" t="inlineStr">
        <is>
          <t xml:space="preserve">Run-length blocks of equal digits, compare candidate windows greedily</t>
        </is>
      </c>
      <c r="K13" s="2" t="inlineStr">
        <is>
          <t xml:space="preserve"/>
        </is>
      </c>
      <c r="L13" s="9" t="str">
        <f>HYPERLINK("https://arena.olimpiici.com/#/catalog/31/problem/100054","open problem")</f>
        <v>open problem</v>
      </c>
    </row>
    <row r="14">
      <c r="A14" s="2" t="inlineStr">
        <is>
          <t xml:space="preserve">triangles</t>
        </is>
      </c>
      <c r="B14" s="2" t="inlineStr">
        <is>
          <t xml:space="preserve">Autumn tournament</t>
        </is>
      </c>
      <c r="C14" s="8" t="inlineStr">
        <is>
          <t xml:space="preserve">C</t>
        </is>
      </c>
      <c r="D14" s="8">
        <v>2011</v>
      </c>
      <c r="E14" s="4">
        <v>2</v>
      </c>
      <c r="F14" s="2" t="inlineStr">
        <is>
          <t xml:space="preserve">Easy</t>
        </is>
      </c>
      <c r="G14" s="2" t="inlineStr">
        <is>
          <t xml:space="preserve">Brute force</t>
        </is>
      </c>
      <c r="H14" s="2" t="inlineStr">
        <is>
          <t xml:space="preserve">Geometry</t>
        </is>
      </c>
      <c r="I14" s="2" t="inlineStr">
        <is>
          <t xml:space="preserve">Arrays, Structs, Nested loops</t>
        </is>
      </c>
      <c r="J14" s="2" t="inlineStr">
        <is>
          <t xml:space="preserve">All triples of &lt;=26 points, reject collinear ones by cross product</t>
        </is>
      </c>
      <c r="K14" s="2" t="inlineStr">
        <is>
          <t xml:space="preserve"/>
        </is>
      </c>
      <c r="L14" s="9" t="str">
        <f>HYPERLINK("https://arena.olimpiici.com/#/catalog/37/problem/100067","open problem")</f>
        <v>open problem</v>
      </c>
    </row>
    <row r="15">
      <c r="A15" s="2" t="inlineStr">
        <is>
          <t xml:space="preserve">substring</t>
        </is>
      </c>
      <c r="B15" s="2" t="inlineStr">
        <is>
          <t xml:space="preserve">Autumn tournament</t>
        </is>
      </c>
      <c r="C15" s="8" t="inlineStr">
        <is>
          <t xml:space="preserve">C</t>
        </is>
      </c>
      <c r="D15" s="8">
        <v>2011</v>
      </c>
      <c r="E15" s="5">
        <v>3</v>
      </c>
      <c r="F15" s="2" t="inlineStr">
        <is>
          <t xml:space="preserve">Medium</t>
        </is>
      </c>
      <c r="G15" s="2" t="inlineStr">
        <is>
          <t xml:space="preserve">Combinatorics</t>
        </is>
      </c>
      <c r="H15" s="2" t="inlineStr">
        <is>
          <t xml:space="preserve">Math / Formula</t>
        </is>
      </c>
      <c r="I15" s="2" t="inlineStr">
        <is>
          <t xml:space="preserve">Long long, Modular arithmetic, Math</t>
        </is>
      </c>
      <c r="J15" s="2" t="inlineStr">
        <is>
          <t xml:space="preserve">Closed-form count of substrings covering position p or q, mod 123456789</t>
        </is>
      </c>
      <c r="K15" s="2" t="inlineStr">
        <is>
          <t xml:space="preserve"/>
        </is>
      </c>
      <c r="L15" s="9" t="str">
        <f>HYPERLINK("https://arena.olimpiici.com/#/catalog/37/problem/100068","open problem")</f>
        <v>open problem</v>
      </c>
    </row>
    <row r="16">
      <c r="A16" s="2" t="inlineStr">
        <is>
          <t xml:space="preserve">company</t>
        </is>
      </c>
      <c r="B16" s="2" t="inlineStr">
        <is>
          <t xml:space="preserve">Autumn tournament</t>
        </is>
      </c>
      <c r="C16" s="8" t="inlineStr">
        <is>
          <t xml:space="preserve">C</t>
        </is>
      </c>
      <c r="D16" s="8">
        <v>2011</v>
      </c>
      <c r="E16" s="5">
        <v>3</v>
      </c>
      <c r="F16" s="2" t="inlineStr">
        <is>
          <t xml:space="preserve">Medium</t>
        </is>
      </c>
      <c r="G16" s="2" t="inlineStr">
        <is>
          <t xml:space="preserve">Trees</t>
        </is>
      </c>
      <c r="H16" s="2" t="inlineStr">
        <is>
          <t xml:space="preserve">Recursion / Backtracking</t>
        </is>
      </c>
      <c r="I16" s="2" t="inlineStr">
        <is>
          <t xml:space="preserve">Vectors, Recursion, Grid/Matrix</t>
        </is>
      </c>
      <c r="J16" s="2" t="inlineStr">
        <is>
          <t xml:space="preserve">Any DFS pre-order of the hierarchy tree keeps every team contiguous</t>
        </is>
      </c>
      <c r="K16" s="2" t="inlineStr">
        <is>
          <t xml:space="preserve">Графи / Дървета; Рекурсия (recursion)</t>
        </is>
      </c>
      <c r="L16" s="9" t="str">
        <f>HYPERLINK("https://arena.olimpiici.com/#/catalog/37/problem/100069","open problem")</f>
        <v>open problem</v>
      </c>
    </row>
    <row r="17">
      <c r="A17" s="2" t="inlineStr">
        <is>
          <t xml:space="preserve">timetable</t>
        </is>
      </c>
      <c r="B17" s="2" t="inlineStr">
        <is>
          <t xml:space="preserve">Autumn tournament</t>
        </is>
      </c>
      <c r="C17" s="8" t="inlineStr">
        <is>
          <t xml:space="preserve">C</t>
        </is>
      </c>
      <c r="D17" s="8">
        <v>2012</v>
      </c>
      <c r="E17" s="5">
        <v>3</v>
      </c>
      <c r="F17" s="2" t="inlineStr">
        <is>
          <t xml:space="preserve">Medium</t>
        </is>
      </c>
      <c r="G17" s="2" t="inlineStr">
        <is>
          <t xml:space="preserve">Implementation / Simulation</t>
        </is>
      </c>
      <c r="H17" s="2" t="inlineStr">
        <is>
          <t xml:space="preserve">Brute force</t>
        </is>
      </c>
      <c r="I17" s="2" t="inlineStr">
        <is>
          <t xml:space="preserve">Dates, Strings, Arrays</t>
        </is>
      </c>
      <c r="J17" s="2" t="inlineStr">
        <is>
          <t xml:space="preserve">Try weekday subsets, count training days between two dates</t>
        </is>
      </c>
      <c r="K17" s="2" t="inlineStr">
        <is>
          <t xml:space="preserve"/>
        </is>
      </c>
      <c r="L17" s="9" t="str">
        <f>HYPERLINK("https://arena.olimpiici.com/#/catalog/43/problem/100082","open problem")</f>
        <v>open problem</v>
      </c>
    </row>
    <row r="18">
      <c r="A18" s="2" t="inlineStr">
        <is>
          <t xml:space="preserve">mice</t>
        </is>
      </c>
      <c r="B18" s="2" t="inlineStr">
        <is>
          <t xml:space="preserve">Autumn tournament</t>
        </is>
      </c>
      <c r="C18" s="8" t="inlineStr">
        <is>
          <t xml:space="preserve">C</t>
        </is>
      </c>
      <c r="D18" s="8">
        <v>2012</v>
      </c>
      <c r="E18" s="6">
        <v>4</v>
      </c>
      <c r="F18" s="2" t="inlineStr">
        <is>
          <t xml:space="preserve">Hard</t>
        </is>
      </c>
      <c r="G18" s="2" t="inlineStr">
        <is>
          <t xml:space="preserve">Greedy</t>
        </is>
      </c>
      <c r="H18" s="2" t="inlineStr">
        <is>
          <t xml:space="preserve">Two pointers / Sliding window</t>
        </is>
      </c>
      <c r="I18" s="2" t="inlineStr">
        <is>
          <t xml:space="preserve">Arrays, Sorting, Two pointers</t>
        </is>
      </c>
      <c r="J18" s="2" t="inlineStr">
        <is>
          <t xml:space="preserve">Mice keep relative order: sweep left and right variants with two pointers</t>
        </is>
      </c>
      <c r="K18" s="2" t="inlineStr">
        <is>
          <t xml:space="preserve"/>
        </is>
      </c>
      <c r="L18" s="9" t="str">
        <f>HYPERLINK("https://arena.olimpiici.com/#/catalog/43/problem/100083","open problem")</f>
        <v>open problem</v>
      </c>
    </row>
    <row r="19">
      <c r="A19" s="2" t="inlineStr">
        <is>
          <t xml:space="preserve">tvgame</t>
        </is>
      </c>
      <c r="B19" s="2" t="inlineStr">
        <is>
          <t xml:space="preserve">Autumn tournament</t>
        </is>
      </c>
      <c r="C19" s="8" t="inlineStr">
        <is>
          <t xml:space="preserve">C</t>
        </is>
      </c>
      <c r="D19" s="8">
        <v>2012</v>
      </c>
      <c r="E19" s="6">
        <v>4</v>
      </c>
      <c r="F19" s="2" t="inlineStr">
        <is>
          <t xml:space="preserve">Hard</t>
        </is>
      </c>
      <c r="G19" s="2" t="inlineStr">
        <is>
          <t xml:space="preserve">Dynamic programming</t>
        </is>
      </c>
      <c r="H19" s="2" t="inlineStr">
        <is>
          <t xml:space="preserve">Grid/Matrix</t>
        </is>
      </c>
      <c r="I19" s="2" t="inlineStr">
        <is>
          <t xml:space="preserve">2D arrays, Chars, Grid/Matrix</t>
        </is>
      </c>
      <c r="J19" s="2" t="inlineStr">
        <is>
          <t xml:space="preserve">DP bottom-up over the board; 'X' cells take the best of three moves</t>
        </is>
      </c>
      <c r="K19" s="2" t="inlineStr">
        <is>
          <t xml:space="preserve"/>
        </is>
      </c>
      <c r="L19" s="9" t="str">
        <f>HYPERLINK("https://arena.olimpiici.com/#/catalog/43/problem/100084","open problem")</f>
        <v>open problem</v>
      </c>
    </row>
    <row r="20">
      <c r="A20" s="2" t="inlineStr">
        <is>
          <t xml:space="preserve">kravaiche</t>
        </is>
      </c>
      <c r="B20" s="2" t="inlineStr">
        <is>
          <t xml:space="preserve">Autumn tournament</t>
        </is>
      </c>
      <c r="C20" s="8" t="inlineStr">
        <is>
          <t xml:space="preserve">C</t>
        </is>
      </c>
      <c r="D20" s="8">
        <v>2013</v>
      </c>
      <c r="E20" s="6">
        <v>4</v>
      </c>
      <c r="F20" s="2" t="inlineStr">
        <is>
          <t xml:space="preserve">Hard</t>
        </is>
      </c>
      <c r="G20" s="2" t="inlineStr">
        <is>
          <t xml:space="preserve">Prefix sums</t>
        </is>
      </c>
      <c r="H20" s="2" t="inlineStr">
        <is>
          <t xml:space="preserve">Number theory</t>
        </is>
      </c>
      <c r="I20" s="2" t="inlineStr">
        <is>
          <t xml:space="preserve">Arrays, Prefix sums, Modular arithmetic</t>
        </is>
      </c>
      <c r="J20" s="2" t="inlineStr">
        <is>
          <t xml:space="preserve">Pigeonhole on prefix sums mod k gives a contiguous divisible block</t>
        </is>
      </c>
      <c r="K20" s="2" t="inlineStr">
        <is>
          <t xml:space="preserve">Сортиране с броене (counting sort); Двоично търсене по отговора (binary search)</t>
        </is>
      </c>
      <c r="L20" s="9" t="str">
        <f>HYPERLINK("https://arena.olimpiici.com/#/catalog/49/problem/100097","open problem")</f>
        <v>open problem</v>
      </c>
    </row>
    <row r="21">
      <c r="A21" s="2" t="inlineStr">
        <is>
          <t xml:space="preserve">niz</t>
        </is>
      </c>
      <c r="B21" s="2" t="inlineStr">
        <is>
          <t xml:space="preserve">Autumn tournament</t>
        </is>
      </c>
      <c r="C21" s="8" t="inlineStr">
        <is>
          <t xml:space="preserve">C</t>
        </is>
      </c>
      <c r="D21" s="8">
        <v>2013</v>
      </c>
      <c r="E21" s="7">
        <v>5</v>
      </c>
      <c r="F21" s="2" t="inlineStr">
        <is>
          <t xml:space="preserve">Very hard</t>
        </is>
      </c>
      <c r="G21" s="2" t="inlineStr">
        <is>
          <t xml:space="preserve">String processing</t>
        </is>
      </c>
      <c r="H21" s="2" t="inlineStr">
        <is>
          <t xml:space="preserve">Implementation / Simulation</t>
        </is>
      </c>
      <c r="I21" s="2" t="inlineStr">
        <is>
          <t xml:space="preserve">Strings, Arrays, Loops</t>
        </is>
      </c>
      <c r="J21" s="2" t="inlineStr">
        <is>
          <t xml:space="preserve">Repeatedly run-length reduce and cyclically rotate a 0/1 string</t>
        </is>
      </c>
      <c r="K21" s="2" t="inlineStr">
        <is>
          <t xml:space="preserve"/>
        </is>
      </c>
      <c r="L21" s="9" t="str">
        <f>HYPERLINK("https://arena.olimpiici.com/#/catalog/49/problem/100098","open problem")</f>
        <v>open problem</v>
      </c>
    </row>
    <row r="22">
      <c r="A22" s="2" t="inlineStr">
        <is>
          <t xml:space="preserve">next</t>
        </is>
      </c>
      <c r="B22" s="2" t="inlineStr">
        <is>
          <t xml:space="preserve">Autumn tournament</t>
        </is>
      </c>
      <c r="C22" s="8" t="inlineStr">
        <is>
          <t xml:space="preserve">C</t>
        </is>
      </c>
      <c r="D22" s="8">
        <v>2013</v>
      </c>
      <c r="E22" s="5">
        <v>3</v>
      </c>
      <c r="F22" s="2" t="inlineStr">
        <is>
          <t xml:space="preserve">Medium</t>
        </is>
      </c>
      <c r="G22" s="2" t="inlineStr">
        <is>
          <t xml:space="preserve">Greedy</t>
        </is>
      </c>
      <c r="H22" s="2" t="inlineStr">
        <is>
          <t xml:space="preserve">Constructive</t>
        </is>
      </c>
      <c r="I22" s="2" t="inlineStr">
        <is>
          <t xml:space="preserve">Strings, Long long, Chars</t>
        </is>
      </c>
      <c r="J22" s="2" t="inlineStr">
        <is>
          <t xml:space="preserve">Build next number digit by digit, keeping digits distinct</t>
        </is>
      </c>
      <c r="K22" s="2" t="inlineStr">
        <is>
          <t xml:space="preserve">Greedy</t>
        </is>
      </c>
      <c r="L22" s="9" t="str">
        <f>HYPERLINK("https://arena.olimpiici.com/#/catalog/49/problem/100099","open problem")</f>
        <v>open problem</v>
      </c>
    </row>
    <row r="23">
      <c r="A23" s="2" t="inlineStr">
        <is>
          <t xml:space="preserve">substrings</t>
        </is>
      </c>
      <c r="B23" s="2" t="inlineStr">
        <is>
          <t xml:space="preserve">Autumn tournament</t>
        </is>
      </c>
      <c r="C23" s="8" t="inlineStr">
        <is>
          <t xml:space="preserve">C</t>
        </is>
      </c>
      <c r="D23" s="8">
        <v>2014</v>
      </c>
      <c r="E23" s="5">
        <v>3</v>
      </c>
      <c r="F23" s="2" t="inlineStr">
        <is>
          <t xml:space="preserve">Medium</t>
        </is>
      </c>
      <c r="G23" s="2" t="inlineStr">
        <is>
          <t xml:space="preserve">Combinatorics</t>
        </is>
      </c>
      <c r="H23" s="2" t="inlineStr">
        <is>
          <t xml:space="preserve">String processing</t>
        </is>
      </c>
      <c r="I23" s="2" t="inlineStr">
        <is>
          <t xml:space="preserve">Strings, Math, Long long</t>
        </is>
      </c>
      <c r="J23" s="2" t="inlineStr">
        <is>
          <t xml:space="preserve">Glue P into one block, count arrangements of the remaining letters</t>
        </is>
      </c>
      <c r="K23" s="2" t="inlineStr">
        <is>
          <t xml:space="preserve">Комбинаторика</t>
        </is>
      </c>
      <c r="L23" s="9" t="str">
        <f>HYPERLINK("https://arena.olimpiici.com/#/catalog/55/problem/100112","open problem")</f>
        <v>open problem</v>
      </c>
    </row>
    <row r="24">
      <c r="A24" s="2" t="inlineStr">
        <is>
          <t xml:space="preserve">calendar</t>
        </is>
      </c>
      <c r="B24" s="2" t="inlineStr">
        <is>
          <t xml:space="preserve">Autumn tournament</t>
        </is>
      </c>
      <c r="C24" s="8" t="inlineStr">
        <is>
          <t xml:space="preserve">C</t>
        </is>
      </c>
      <c r="D24" s="8">
        <v>2014</v>
      </c>
      <c r="E24" s="6">
        <v>4</v>
      </c>
      <c r="F24" s="2" t="inlineStr">
        <is>
          <t xml:space="preserve">Hard</t>
        </is>
      </c>
      <c r="G24" s="2" t="inlineStr">
        <is>
          <t xml:space="preserve">Implementation / Simulation</t>
        </is>
      </c>
      <c r="H24" s="2" t="inlineStr">
        <is>
          <t xml:space="preserve">Math / Formula</t>
        </is>
      </c>
      <c r="I24" s="2" t="inlineStr">
        <is>
          <t xml:space="preserve">Dates, Strings, Arrays</t>
        </is>
      </c>
      <c r="J24" s="2" t="inlineStr">
        <is>
          <t xml:space="preserve">Heavy calendar simulation: sheet order, flipping, face/back sides</t>
        </is>
      </c>
      <c r="K24" s="2" t="inlineStr">
        <is>
          <t xml:space="preserve"/>
        </is>
      </c>
      <c r="L24" s="9" t="str">
        <f>HYPERLINK("https://arena.olimpiici.com/#/catalog/55/problem/100113","open problem")</f>
        <v>open problem</v>
      </c>
    </row>
    <row r="25">
      <c r="A25" s="2" t="inlineStr">
        <is>
          <t xml:space="preserve">hexagon</t>
        </is>
      </c>
      <c r="B25" s="2" t="inlineStr">
        <is>
          <t xml:space="preserve">Autumn tournament</t>
        </is>
      </c>
      <c r="C25" s="8" t="inlineStr">
        <is>
          <t xml:space="preserve">C</t>
        </is>
      </c>
      <c r="D25" s="8">
        <v>2014</v>
      </c>
      <c r="E25" s="6">
        <v>4</v>
      </c>
      <c r="F25" s="2" t="inlineStr">
        <is>
          <t xml:space="preserve">Hard</t>
        </is>
      </c>
      <c r="G25" s="2" t="inlineStr">
        <is>
          <t xml:space="preserve">Flood fill</t>
        </is>
      </c>
      <c r="H25" s="2" t="inlineStr">
        <is>
          <t xml:space="preserve">Graph traversal (BFS/DFS)</t>
        </is>
      </c>
      <c r="I25" s="2" t="inlineStr">
        <is>
          <t xml:space="preserve">2D arrays, Bitmask, Recursion</t>
        </is>
      </c>
      <c r="J25" s="2" t="inlineStr">
        <is>
          <t xml:space="preserve">Hex grid: connect cells whose groove bitmasks match, take largest region</t>
        </is>
      </c>
      <c r="K25" s="2" t="inlineStr">
        <is>
          <t xml:space="preserve"/>
        </is>
      </c>
      <c r="L25" s="9" t="str">
        <f>HYPERLINK("https://arena.olimpiici.com/#/catalog/55/problem/100114","open problem")</f>
        <v>open problem</v>
      </c>
    </row>
    <row r="26">
      <c r="A26" s="2" t="inlineStr">
        <is>
          <t xml:space="preserve">twostr</t>
        </is>
      </c>
      <c r="B26" s="2" t="inlineStr">
        <is>
          <t xml:space="preserve">Autumn tournament</t>
        </is>
      </c>
      <c r="C26" s="8" t="inlineStr">
        <is>
          <t xml:space="preserve">C</t>
        </is>
      </c>
      <c r="D26" s="8">
        <v>2015</v>
      </c>
      <c r="E26" s="6">
        <v>4</v>
      </c>
      <c r="F26" s="2" t="inlineStr">
        <is>
          <t xml:space="preserve">Hard</t>
        </is>
      </c>
      <c r="G26" s="2" t="inlineStr">
        <is>
          <t xml:space="preserve">Big numbers</t>
        </is>
      </c>
      <c r="H26" s="2" t="inlineStr">
        <is>
          <t xml:space="preserve">Greedy</t>
        </is>
      </c>
      <c r="I26" s="2" t="inlineStr">
        <is>
          <t xml:space="preserve">Strings, Big integers, Sorting</t>
        </is>
      </c>
      <c r="J26" s="2" t="inlineStr">
        <is>
          <t xml:space="preserve">Pick max rotation of s and min rotation of t, subtract as big numbers</t>
        </is>
      </c>
      <c r="K26" s="2" t="inlineStr">
        <is>
          <t xml:space="preserve">Дълги числа (Big numbers)</t>
        </is>
      </c>
      <c r="L26" s="9" t="str">
        <f>HYPERLINK("https://arena.olimpiici.com/#/catalog/61/problem/100127","open problem")</f>
        <v>open problem</v>
      </c>
    </row>
    <row r="27">
      <c r="A27" s="2" t="inlineStr">
        <is>
          <t xml:space="preserve">swap</t>
        </is>
      </c>
      <c r="B27" s="2" t="inlineStr">
        <is>
          <t xml:space="preserve">Autumn tournament</t>
        </is>
      </c>
      <c r="C27" s="8" t="inlineStr">
        <is>
          <t xml:space="preserve">C</t>
        </is>
      </c>
      <c r="D27" s="8">
        <v>2015</v>
      </c>
      <c r="E27" s="5">
        <v>3</v>
      </c>
      <c r="F27" s="2" t="inlineStr">
        <is>
          <t xml:space="preserve">Medium</t>
        </is>
      </c>
      <c r="G27" s="2" t="inlineStr">
        <is>
          <t xml:space="preserve">Constructive</t>
        </is>
      </c>
      <c r="H27" s="2" t="inlineStr">
        <is>
          <t xml:space="preserve">Sorting</t>
        </is>
      </c>
      <c r="I27" s="2" t="inlineStr">
        <is>
          <t xml:space="preserve">Arrays, Loops, Vectors</t>
        </is>
      </c>
      <c r="J27" s="2" t="inlineStr">
        <is>
          <t xml:space="preserve">Bubble-sort style swaps, skipping pairs where an element sits in place</t>
        </is>
      </c>
      <c r="K27" s="2" t="inlineStr">
        <is>
          <t xml:space="preserve"/>
        </is>
      </c>
      <c r="L27" s="9" t="str">
        <f>HYPERLINK("https://arena.olimpiici.com/#/catalog/61/problem/100128","open problem")</f>
        <v>open problem</v>
      </c>
    </row>
    <row r="28">
      <c r="A28" s="2" t="inlineStr">
        <is>
          <t xml:space="preserve">agrain</t>
        </is>
      </c>
      <c r="B28" s="2" t="inlineStr">
        <is>
          <t xml:space="preserve">Autumn tournament</t>
        </is>
      </c>
      <c r="C28" s="8" t="inlineStr">
        <is>
          <t xml:space="preserve">C</t>
        </is>
      </c>
      <c r="D28" s="8">
        <v>2015</v>
      </c>
      <c r="E28" s="7">
        <v>5</v>
      </c>
      <c r="F28" s="2" t="inlineStr">
        <is>
          <t xml:space="preserve">Very hard</t>
        </is>
      </c>
      <c r="G28" s="2" t="inlineStr">
        <is>
          <t xml:space="preserve">Data structures</t>
        </is>
      </c>
      <c r="H28" s="2" t="inlineStr">
        <is>
          <t xml:space="preserve">Ad hoc / Observation</t>
        </is>
      </c>
      <c r="I28" s="2" t="inlineStr">
        <is>
          <t xml:space="preserve">Linked list, Arrays, Sorting</t>
        </is>
      </c>
      <c r="J28" s="2" t="inlineStr">
        <is>
          <t xml:space="preserve">Process 10^7 generated drops in reverse with a linked list of gaps</t>
        </is>
      </c>
      <c r="K28" s="2" t="inlineStr">
        <is>
          <t xml:space="preserve">Свързан списък</t>
        </is>
      </c>
      <c r="L28" s="9" t="str">
        <f>HYPERLINK("https://arena.olimpiici.com/#/catalog/61/problem/100129","open problem")</f>
        <v>open problem</v>
      </c>
    </row>
    <row r="29">
      <c r="A29" s="2" t="inlineStr">
        <is>
          <t xml:space="preserve">zeros</t>
        </is>
      </c>
      <c r="B29" s="2" t="inlineStr">
        <is>
          <t xml:space="preserve">Autumn tournament</t>
        </is>
      </c>
      <c r="C29" s="8" t="inlineStr">
        <is>
          <t xml:space="preserve">C</t>
        </is>
      </c>
      <c r="D29" s="8">
        <v>2016</v>
      </c>
      <c r="E29" s="5">
        <v>3</v>
      </c>
      <c r="F29" s="2" t="inlineStr">
        <is>
          <t xml:space="preserve">Medium</t>
        </is>
      </c>
      <c r="G29" s="2" t="inlineStr">
        <is>
          <t xml:space="preserve">Big numbers</t>
        </is>
      </c>
      <c r="H29" s="2" t="inlineStr">
        <is>
          <t xml:space="preserve">Combinatorics</t>
        </is>
      </c>
      <c r="I29" s="2" t="inlineStr">
        <is>
          <t xml:space="preserve">Arrays, Big integers, Strings</t>
        </is>
      </c>
      <c r="J29" s="2" t="inlineStr">
        <is>
          <t xml:space="preserve">Compute C(N,K) exactly with big-number multiply/divide, count zero digits</t>
        </is>
      </c>
      <c r="K29" s="2" t="inlineStr">
        <is>
          <t xml:space="preserve"/>
        </is>
      </c>
      <c r="L29" s="9" t="str">
        <f>HYPERLINK("https://arena.olimpiici.com/#/catalog/67/problem/100142","open problem")</f>
        <v>open problem</v>
      </c>
    </row>
    <row r="30">
      <c r="A30" s="2" t="inlineStr">
        <is>
          <t xml:space="preserve">code</t>
        </is>
      </c>
      <c r="B30" s="2" t="inlineStr">
        <is>
          <t xml:space="preserve">Autumn tournament</t>
        </is>
      </c>
      <c r="C30" s="8" t="inlineStr">
        <is>
          <t xml:space="preserve">C</t>
        </is>
      </c>
      <c r="D30" s="8">
        <v>2016</v>
      </c>
      <c r="E30" s="5">
        <v>3</v>
      </c>
      <c r="F30" s="2" t="inlineStr">
        <is>
          <t xml:space="preserve">Medium</t>
        </is>
      </c>
      <c r="G30" s="2" t="inlineStr">
        <is>
          <t xml:space="preserve">Dynamic programming</t>
        </is>
      </c>
      <c r="H30" s="2" t="inlineStr">
        <is>
          <t xml:space="preserve">String processing</t>
        </is>
      </c>
      <c r="I30" s="2" t="inlineStr">
        <is>
          <t xml:space="preserve">Strings, Long long, Arrays</t>
        </is>
      </c>
      <c r="J30" s="2" t="inlineStr">
        <is>
          <t xml:space="preserve">Decode-ways DP, only pairs mapping into the first n letters count</t>
        </is>
      </c>
      <c r="K30" s="2" t="inlineStr">
        <is>
          <t xml:space="preserve"/>
        </is>
      </c>
      <c r="L30" s="9" t="str">
        <f>HYPERLINK("https://arena.olimpiici.com/#/catalog/67/problem/100143","open problem")</f>
        <v>open problem</v>
      </c>
    </row>
    <row r="31">
      <c r="A31" s="2" t="inlineStr">
        <is>
          <t xml:space="preserve">triangle</t>
        </is>
      </c>
      <c r="B31" s="2" t="inlineStr">
        <is>
          <t xml:space="preserve">Autumn tournament</t>
        </is>
      </c>
      <c r="C31" s="8" t="inlineStr">
        <is>
          <t xml:space="preserve">C</t>
        </is>
      </c>
      <c r="D31" s="8">
        <v>2016</v>
      </c>
      <c r="E31" s="6">
        <v>4</v>
      </c>
      <c r="F31" s="2" t="inlineStr">
        <is>
          <t xml:space="preserve">Hard</t>
        </is>
      </c>
      <c r="G31" s="2" t="inlineStr">
        <is>
          <t xml:space="preserve">Sorting</t>
        </is>
      </c>
      <c r="H31" s="2" t="inlineStr">
        <is>
          <t xml:space="preserve">Two pointers / Sliding window</t>
        </is>
      </c>
      <c r="I31" s="2" t="inlineStr">
        <is>
          <t xml:space="preserve">Sorting, Arrays, Prefix sums, Long long</t>
        </is>
      </c>
      <c r="J31" s="2" t="inlineStr">
        <is>
          <t xml:space="preserve">Sort per colour, count valid triangle-inequality triples with two pointers</t>
        </is>
      </c>
      <c r="K31" s="2" t="inlineStr">
        <is>
          <t xml:space="preserve"/>
        </is>
      </c>
      <c r="L31" s="9" t="str">
        <f>HYPERLINK("https://arena.olimpiici.com/#/catalog/67/problem/100144","open problem")</f>
        <v>open problem</v>
      </c>
    </row>
    <row r="32">
      <c r="A32" s="2" t="inlineStr">
        <is>
          <t xml:space="preserve">snowboard</t>
        </is>
      </c>
      <c r="B32" s="2" t="inlineStr">
        <is>
          <t xml:space="preserve">Autumn tournament</t>
        </is>
      </c>
      <c r="C32" s="8" t="inlineStr">
        <is>
          <t xml:space="preserve">C</t>
        </is>
      </c>
      <c r="D32" s="8">
        <v>2017</v>
      </c>
      <c r="E32" s="6">
        <v>4</v>
      </c>
      <c r="F32" s="2" t="inlineStr">
        <is>
          <t xml:space="preserve">Hard</t>
        </is>
      </c>
      <c r="G32" s="2" t="inlineStr">
        <is>
          <t xml:space="preserve">Dynamic programming</t>
        </is>
      </c>
      <c r="H32" s="2" t="inlineStr">
        <is>
          <t xml:space="preserve">Combinatorics</t>
        </is>
      </c>
      <c r="I32" s="2" t="inlineStr">
        <is>
          <t xml:space="preserve">3D arrays, Modular arithmetic, Grid/Matrix</t>
        </is>
      </c>
      <c r="J32" s="2" t="inlineStr">
        <is>
          <t xml:space="preserve">Count paths by (row, column, flags passed) with a modulus of 262</t>
        </is>
      </c>
      <c r="K32" s="2" t="inlineStr">
        <is>
          <t xml:space="preserve"/>
        </is>
      </c>
      <c r="L32" s="9" t="str">
        <f>HYPERLINK("https://arena.olimpiici.com/#/catalog/73/problem/100157","open problem")</f>
        <v>open problem</v>
      </c>
    </row>
    <row r="33">
      <c r="A33" s="2" t="inlineStr">
        <is>
          <t xml:space="preserve">school</t>
        </is>
      </c>
      <c r="B33" s="2" t="inlineStr">
        <is>
          <t xml:space="preserve">Autumn tournament</t>
        </is>
      </c>
      <c r="C33" s="8" t="inlineStr">
        <is>
          <t xml:space="preserve">C</t>
        </is>
      </c>
      <c r="D33" s="8">
        <v>2017</v>
      </c>
      <c r="E33" s="6">
        <v>4</v>
      </c>
      <c r="F33" s="2" t="inlineStr">
        <is>
          <t xml:space="preserve">Hard</t>
        </is>
      </c>
      <c r="G33" s="2" t="inlineStr">
        <is>
          <t xml:space="preserve">Dynamic programming</t>
        </is>
      </c>
      <c r="H33" s="2" t="inlineStr">
        <is>
          <t xml:space="preserve">Greedy</t>
        </is>
      </c>
      <c r="I33" s="2" t="inlineStr">
        <is>
          <t xml:space="preserve">Arrays, Sorting, Two pointers</t>
        </is>
      </c>
      <c r="J33" s="2" t="inlineStr">
        <is>
          <t xml:space="preserve">Minimise arrival time while picking up exactly M students along stops</t>
        </is>
      </c>
      <c r="K33" s="2" t="inlineStr">
        <is>
          <t xml:space="preserve"/>
        </is>
      </c>
      <c r="L33" s="9" t="str">
        <f>HYPERLINK("https://arena.olimpiici.com/#/catalog/73/problem/100158","open problem")</f>
        <v>open problem</v>
      </c>
    </row>
    <row r="34">
      <c r="A34" s="2" t="inlineStr">
        <is>
          <t xml:space="preserve">workshop</t>
        </is>
      </c>
      <c r="B34" s="2" t="inlineStr">
        <is>
          <t xml:space="preserve">Autumn tournament</t>
        </is>
      </c>
      <c r="C34" s="8" t="inlineStr">
        <is>
          <t xml:space="preserve">C</t>
        </is>
      </c>
      <c r="D34" s="8">
        <v>2017</v>
      </c>
      <c r="E34" s="5">
        <v>3</v>
      </c>
      <c r="F34" s="2" t="inlineStr">
        <is>
          <t xml:space="preserve">Medium</t>
        </is>
      </c>
      <c r="G34" s="2" t="inlineStr">
        <is>
          <t xml:space="preserve">Dynamic programming</t>
        </is>
      </c>
      <c r="H34" s="2" t="inlineStr">
        <is>
          <t xml:space="preserve">Number theory</t>
        </is>
      </c>
      <c r="I34" s="2" t="inlineStr">
        <is>
          <t xml:space="preserve">Arrays, Loops, Counting array</t>
        </is>
      </c>
      <c r="J34" s="2" t="inlineStr">
        <is>
          <t xml:space="preserve">Subset-sum knapsack: can one machine take a load of at most T?</t>
        </is>
      </c>
      <c r="K34" s="2" t="inlineStr">
        <is>
          <t xml:space="preserve">Динамично програмиране (Dynamic programming)</t>
        </is>
      </c>
      <c r="L34" s="9" t="str">
        <f>HYPERLINK("https://arena.olimpiici.com/#/catalog/73/problem/100159","open problem")</f>
        <v>open problem</v>
      </c>
    </row>
    <row r="35">
      <c r="A35" s="2" t="inlineStr">
        <is>
          <t xml:space="preserve">report</t>
        </is>
      </c>
      <c r="B35" s="2" t="inlineStr">
        <is>
          <t xml:space="preserve">Autumn tournament</t>
        </is>
      </c>
      <c r="C35" s="8" t="inlineStr">
        <is>
          <t xml:space="preserve">C</t>
        </is>
      </c>
      <c r="D35" s="8">
        <v>2018</v>
      </c>
      <c r="E35" s="5">
        <v>3</v>
      </c>
      <c r="F35" s="2" t="inlineStr">
        <is>
          <t xml:space="preserve">Medium</t>
        </is>
      </c>
      <c r="G35" s="2" t="inlineStr">
        <is>
          <t xml:space="preserve">Data structures</t>
        </is>
      </c>
      <c r="H35" s="2" t="inlineStr">
        <is>
          <t xml:space="preserve">Ad hoc / Observation</t>
        </is>
      </c>
      <c r="I35" s="2" t="inlineStr">
        <is>
          <t xml:space="preserve">Stacks, Arrays, Loops</t>
        </is>
      </c>
      <c r="J35" s="2" t="inlineStr">
        <is>
          <t xml:space="preserve">Previous smaller element for every index with a monotonic stack</t>
        </is>
      </c>
      <c r="K35" s="2" t="inlineStr">
        <is>
          <t xml:space="preserve">STL / Стек (stack)</t>
        </is>
      </c>
      <c r="L35" s="9" t="str">
        <f>HYPERLINK("https://arena.olimpiici.com/#/catalog/79/problem/100172","open problem")</f>
        <v>open problem</v>
      </c>
    </row>
    <row r="36">
      <c r="A36" s="2" t="inlineStr">
        <is>
          <t xml:space="preserve">clock</t>
        </is>
      </c>
      <c r="B36" s="2" t="inlineStr">
        <is>
          <t xml:space="preserve">Autumn tournament</t>
        </is>
      </c>
      <c r="C36" s="8" t="inlineStr">
        <is>
          <t xml:space="preserve">C</t>
        </is>
      </c>
      <c r="D36" s="8">
        <v>2018</v>
      </c>
      <c r="E36" s="6">
        <v>4</v>
      </c>
      <c r="F36" s="2" t="inlineStr">
        <is>
          <t xml:space="preserve">Hard</t>
        </is>
      </c>
      <c r="G36" s="2" t="inlineStr">
        <is>
          <t xml:space="preserve">Number theory</t>
        </is>
      </c>
      <c r="H36" s="2" t="inlineStr">
        <is>
          <t xml:space="preserve">Math / Formula</t>
        </is>
      </c>
      <c r="I36" s="2" t="inlineStr">
        <is>
          <t xml:space="preserve">Math, Long long, Modular arithmetic</t>
        </is>
      </c>
      <c r="J36" s="2" t="inlineStr">
        <is>
          <t xml:space="preserve">Alien clock: coincidences of three hands reduce to gcd counting</t>
        </is>
      </c>
      <c r="K36" s="2" t="inlineStr">
        <is>
          <t xml:space="preserve">Математика; Математика / Теория на числата</t>
        </is>
      </c>
      <c r="L36" s="9" t="str">
        <f>HYPERLINK("https://arena.olimpiici.com/#/catalog/79/problem/100173","open problem")</f>
        <v>open problem</v>
      </c>
    </row>
    <row r="37">
      <c r="A37" s="2" t="inlineStr">
        <is>
          <t xml:space="preserve">persistence</t>
        </is>
      </c>
      <c r="B37" s="2" t="inlineStr">
        <is>
          <t xml:space="preserve">Autumn tournament</t>
        </is>
      </c>
      <c r="C37" s="8" t="inlineStr">
        <is>
          <t xml:space="preserve">C</t>
        </is>
      </c>
      <c r="D37" s="8">
        <v>2018</v>
      </c>
      <c r="E37" s="6">
        <v>4</v>
      </c>
      <c r="F37" s="2" t="inlineStr">
        <is>
          <t xml:space="preserve">Hard</t>
        </is>
      </c>
      <c r="G37" s="2" t="inlineStr">
        <is>
          <t xml:space="preserve">Brute force</t>
        </is>
      </c>
      <c r="H37" s="2" t="inlineStr">
        <is>
          <t xml:space="preserve">Constructive</t>
        </is>
      </c>
      <c r="I37" s="2" t="inlineStr">
        <is>
          <t xml:space="preserve">Long long, Recursion, Math</t>
        </is>
      </c>
      <c r="J37" s="2" t="inlineStr">
        <is>
          <t xml:space="preserve">Build candidates from non-decreasing digits 2-9, find minimum with persistence P</t>
        </is>
      </c>
      <c r="K37" s="2" t="inlineStr">
        <is>
          <t xml:space="preserve">Комбинаторни конфигурации и преброяване</t>
        </is>
      </c>
      <c r="L37" s="9" t="str">
        <f>HYPERLINK("https://arena.olimpiici.com/#/catalog/79/problem/100174","open problem")</f>
        <v>open problem</v>
      </c>
    </row>
    <row r="38">
      <c r="A38" s="2" t="inlineStr">
        <is>
          <t xml:space="preserve">long</t>
        </is>
      </c>
      <c r="B38" s="2" t="inlineStr">
        <is>
          <t xml:space="preserve">Autumn tournament</t>
        </is>
      </c>
      <c r="C38" s="8" t="inlineStr">
        <is>
          <t xml:space="preserve">C</t>
        </is>
      </c>
      <c r="D38" s="8">
        <v>2019</v>
      </c>
      <c r="E38" s="6">
        <v>4</v>
      </c>
      <c r="F38" s="2" t="inlineStr">
        <is>
          <t xml:space="preserve">Hard</t>
        </is>
      </c>
      <c r="G38" s="2" t="inlineStr">
        <is>
          <t xml:space="preserve">Brute force</t>
        </is>
      </c>
      <c r="H38" s="2" t="inlineStr">
        <is>
          <t xml:space="preserve">String processing</t>
        </is>
      </c>
      <c r="I38" s="2" t="inlineStr">
        <is>
          <t xml:space="preserve">Strings, Bitmask, Counting array</t>
        </is>
      </c>
      <c r="J38" s="2" t="inlineStr">
        <is>
          <t xml:space="preserve">Enumerate K-letter targets, greedily test subsequence membership per string</t>
        </is>
      </c>
      <c r="K38" s="2" t="inlineStr">
        <is>
          <t xml:space="preserve">Bruteforce</t>
        </is>
      </c>
      <c r="L38" s="9" t="str">
        <f>HYPERLINK("https://arena.olimpiici.com/#/catalog/466/problem/101262","open problem")</f>
        <v>open problem</v>
      </c>
    </row>
    <row r="39">
      <c r="A39" s="2" t="inlineStr">
        <is>
          <t xml:space="preserve">rain</t>
        </is>
      </c>
      <c r="B39" s="2" t="inlineStr">
        <is>
          <t xml:space="preserve">Autumn tournament</t>
        </is>
      </c>
      <c r="C39" s="8" t="inlineStr">
        <is>
          <t xml:space="preserve">C</t>
        </is>
      </c>
      <c r="D39" s="8">
        <v>2019</v>
      </c>
      <c r="E39" s="7">
        <v>5</v>
      </c>
      <c r="F39" s="2" t="inlineStr">
        <is>
          <t xml:space="preserve">Very hard</t>
        </is>
      </c>
      <c r="G39" s="2" t="inlineStr">
        <is>
          <t xml:space="preserve">Greedy</t>
        </is>
      </c>
      <c r="H39" s="2" t="inlineStr">
        <is>
          <t xml:space="preserve">Prefix sums</t>
        </is>
      </c>
      <c r="I39" s="2" t="inlineStr">
        <is>
          <t xml:space="preserve">Arrays, Prefix sums, Long long</t>
        </is>
      </c>
      <c r="J39" s="2" t="inlineStr">
        <is>
          <t xml:space="preserve">Trapping rain water with raisable walls; prefix/suffix maxima and greedy choice</t>
        </is>
      </c>
      <c r="K39" s="2" t="inlineStr">
        <is>
          <t xml:space="preserve"/>
        </is>
      </c>
      <c r="L39" s="9" t="str">
        <f>HYPERLINK("https://arena.olimpiici.com/#/catalog/466/problem/101263","open problem")</f>
        <v>open problem</v>
      </c>
    </row>
    <row r="40">
      <c r="A40" s="2" t="inlineStr">
        <is>
          <t xml:space="preserve">maxsum</t>
        </is>
      </c>
      <c r="B40" s="2" t="inlineStr">
        <is>
          <t xml:space="preserve">Autumn tournament</t>
        </is>
      </c>
      <c r="C40" s="8" t="inlineStr">
        <is>
          <t xml:space="preserve">C</t>
        </is>
      </c>
      <c r="D40" s="8">
        <v>2019</v>
      </c>
      <c r="E40" s="7">
        <v>5</v>
      </c>
      <c r="F40" s="2" t="inlineStr">
        <is>
          <t xml:space="preserve">Very hard</t>
        </is>
      </c>
      <c r="G40" s="2" t="inlineStr">
        <is>
          <t xml:space="preserve">Dynamic programming</t>
        </is>
      </c>
      <c r="H40" s="2" t="inlineStr">
        <is>
          <t xml:space="preserve">Ad hoc / Observation</t>
        </is>
      </c>
      <c r="I40" s="2" t="inlineStr">
        <is>
          <t xml:space="preserve">2D arrays, Arrays, Long long</t>
        </is>
      </c>
      <c r="J40" s="2" t="inlineStr">
        <is>
          <t xml:space="preserve">Two tokens closing in on each other; DP over the reachable gap</t>
        </is>
      </c>
      <c r="K40" s="2" t="inlineStr">
        <is>
          <t xml:space="preserve">Динамично програмиране (Dynamic programming)</t>
        </is>
      </c>
      <c r="L40" s="9" t="str">
        <f>HYPERLINK("https://arena.olimpiici.com/#/catalog/466/problem/101264","open problem")</f>
        <v>open problem</v>
      </c>
    </row>
    <row r="41">
      <c r="A41" s="2" t="inlineStr">
        <is>
          <t xml:space="preserve">skobi</t>
        </is>
      </c>
      <c r="B41" s="2" t="inlineStr">
        <is>
          <t xml:space="preserve">Autumn tournament</t>
        </is>
      </c>
      <c r="C41" s="8" t="inlineStr">
        <is>
          <t xml:space="preserve">C</t>
        </is>
      </c>
      <c r="D41" s="8">
        <v>2020</v>
      </c>
      <c r="E41" s="5">
        <v>3</v>
      </c>
      <c r="F41" s="2" t="inlineStr">
        <is>
          <t xml:space="preserve">Medium</t>
        </is>
      </c>
      <c r="G41" s="2" t="inlineStr">
        <is>
          <t xml:space="preserve">Prefix sums</t>
        </is>
      </c>
      <c r="H41" s="2" t="inlineStr">
        <is>
          <t xml:space="preserve">Data structures</t>
        </is>
      </c>
      <c r="I41" s="2" t="inlineStr">
        <is>
          <t xml:space="preserve">Prefix sums, Arrays, Strings</t>
        </is>
      </c>
      <c r="J41" s="2" t="inlineStr">
        <is>
          <t xml:space="preserve">Balance prefix plus range minimum answers each bracket substring query</t>
        </is>
      </c>
      <c r="K41" s="2" t="inlineStr">
        <is>
          <t xml:space="preserve"/>
        </is>
      </c>
      <c r="L41" s="9" t="str">
        <f>HYPERLINK("https://arena.olimpiici.com/#/catalog/545/problem/101346","open problem")</f>
        <v>open problem</v>
      </c>
    </row>
    <row r="42">
      <c r="A42" s="2" t="inlineStr">
        <is>
          <t xml:space="preserve">square</t>
        </is>
      </c>
      <c r="B42" s="2" t="inlineStr">
        <is>
          <t xml:space="preserve">Autumn tournament</t>
        </is>
      </c>
      <c r="C42" s="8" t="inlineStr">
        <is>
          <t xml:space="preserve">C</t>
        </is>
      </c>
      <c r="D42" s="8">
        <v>2020</v>
      </c>
      <c r="E42" s="6">
        <v>4</v>
      </c>
      <c r="F42" s="2" t="inlineStr">
        <is>
          <t xml:space="preserve">Hard</t>
        </is>
      </c>
      <c r="G42" s="2" t="inlineStr">
        <is>
          <t xml:space="preserve">Dynamic programming</t>
        </is>
      </c>
      <c r="H42" s="2" t="inlineStr">
        <is>
          <t xml:space="preserve">Grid/Matrix</t>
        </is>
      </c>
      <c r="I42" s="2" t="inlineStr">
        <is>
          <t xml:space="preserve">2D arrays, Grid/Matrix, Chars</t>
        </is>
      </c>
      <c r="J42" s="2" t="inlineStr">
        <is>
          <t xml:space="preserve">Diagonal run DP in four directions, then largest odd square with both diagonals of 1s</t>
        </is>
      </c>
      <c r="K42" s="2" t="inlineStr">
        <is>
          <t xml:space="preserve"/>
        </is>
      </c>
      <c r="L42" s="9" t="str">
        <f>HYPERLINK("https://arena.olimpiici.com/#/catalog/545/problem/101347","open problem")</f>
        <v>open problem</v>
      </c>
    </row>
    <row r="43">
      <c r="A43" s="2" t="inlineStr">
        <is>
          <t xml:space="preserve">popcorn</t>
        </is>
      </c>
      <c r="B43" s="2" t="inlineStr">
        <is>
          <t xml:space="preserve">Autumn tournament</t>
        </is>
      </c>
      <c r="C43" s="8" t="inlineStr">
        <is>
          <t xml:space="preserve">C</t>
        </is>
      </c>
      <c r="D43" s="8">
        <v>2020</v>
      </c>
      <c r="E43" s="5">
        <v>3</v>
      </c>
      <c r="F43" s="2" t="inlineStr">
        <is>
          <t xml:space="preserve">Medium</t>
        </is>
      </c>
      <c r="G43" s="2" t="inlineStr">
        <is>
          <t xml:space="preserve">Binary search</t>
        </is>
      </c>
      <c r="H43" s="2" t="inlineStr">
        <is>
          <t xml:space="preserve">Greedy</t>
        </is>
      </c>
      <c r="I43" s="2" t="inlineStr">
        <is>
          <t xml:space="preserve">Arrays, Long long, Prefix sums</t>
        </is>
      </c>
      <c r="J43" s="2" t="inlineStr">
        <is>
          <t xml:space="preserve">Binary search the eating time, greedily cut the row into K blocks</t>
        </is>
      </c>
      <c r="K43" s="2" t="inlineStr">
        <is>
          <t xml:space="preserve">Двоично търсене по отговора (binary search)</t>
        </is>
      </c>
      <c r="L43" s="9" t="str">
        <f>HYPERLINK("https://arena.olimpiici.com/#/catalog/545/problem/101348","open problem")</f>
        <v>open problem</v>
      </c>
    </row>
    <row r="44">
      <c r="A44" s="2" t="inlineStr">
        <is>
          <t xml:space="preserve">hacks</t>
        </is>
      </c>
      <c r="B44" s="2" t="inlineStr">
        <is>
          <t xml:space="preserve">Autumn tournament</t>
        </is>
      </c>
      <c r="C44" s="8" t="inlineStr">
        <is>
          <t xml:space="preserve">C</t>
        </is>
      </c>
      <c r="D44" s="8">
        <v>2021</v>
      </c>
      <c r="E44" s="6">
        <v>4</v>
      </c>
      <c r="F44" s="2" t="inlineStr">
        <is>
          <t xml:space="preserve">Hard</t>
        </is>
      </c>
      <c r="G44" s="2" t="inlineStr">
        <is>
          <t xml:space="preserve">Greedy</t>
        </is>
      </c>
      <c r="H44" s="2" t="inlineStr">
        <is>
          <t xml:space="preserve">Sorting</t>
        </is>
      </c>
      <c r="I44" s="2" t="inlineStr">
        <is>
          <t xml:space="preserve">Sorting, 2D arrays, Long long</t>
        </is>
      </c>
      <c r="J44" s="2" t="inlineStr">
        <is>
          <t xml:space="preserve">Choose which submissions to hack to maximise final ranking</t>
        </is>
      </c>
      <c r="K44" s="2" t="inlineStr">
        <is>
          <t xml:space="preserve">Greedy; Двоично търсене по отговора (binary search)</t>
        </is>
      </c>
      <c r="L44" s="9" t="str">
        <f>HYPERLINK("https://arena.olimpiici.com/#/catalog/640/problem/101606","open problem")</f>
        <v>open problem</v>
      </c>
    </row>
    <row r="45">
      <c r="A45" s="2" t="inlineStr">
        <is>
          <t xml:space="preserve">price</t>
        </is>
      </c>
      <c r="B45" s="2" t="inlineStr">
        <is>
          <t xml:space="preserve">Autumn tournament</t>
        </is>
      </c>
      <c r="C45" s="8" t="inlineStr">
        <is>
          <t xml:space="preserve">C</t>
        </is>
      </c>
      <c r="D45" s="8">
        <v>2021</v>
      </c>
      <c r="E45" s="6">
        <v>4</v>
      </c>
      <c r="F45" s="2" t="inlineStr">
        <is>
          <t xml:space="preserve">Hard</t>
        </is>
      </c>
      <c r="G45" s="2" t="inlineStr">
        <is>
          <t xml:space="preserve">Dynamic programming</t>
        </is>
      </c>
      <c r="H45" s="2" t="inlineStr">
        <is>
          <t xml:space="preserve">Greedy</t>
        </is>
      </c>
      <c r="I45" s="2" t="inlineStr">
        <is>
          <t xml:space="preserve">Arrays, Prefix sums, Long long</t>
        </is>
      </c>
      <c r="J45" s="2" t="inlineStr">
        <is>
          <t xml:space="preserve">Pick at most K sign flips minimising the total price</t>
        </is>
      </c>
      <c r="K45" s="2" t="inlineStr">
        <is>
          <t xml:space="preserve">Динамично програмиране (Dynamic programming)</t>
        </is>
      </c>
      <c r="L45" s="9" t="str">
        <f>HYPERLINK("https://arena.olimpiici.com/#/catalog/640/problem/101607","open problem")</f>
        <v>open problem</v>
      </c>
    </row>
    <row r="46">
      <c r="A46" s="2" t="inlineStr">
        <is>
          <t xml:space="preserve">rect</t>
        </is>
      </c>
      <c r="B46" s="2" t="inlineStr">
        <is>
          <t xml:space="preserve">Autumn tournament</t>
        </is>
      </c>
      <c r="C46" s="8" t="inlineStr">
        <is>
          <t xml:space="preserve">C</t>
        </is>
      </c>
      <c r="D46" s="8">
        <v>2021</v>
      </c>
      <c r="E46" s="6">
        <v>4</v>
      </c>
      <c r="F46" s="2" t="inlineStr">
        <is>
          <t xml:space="preserve">Hard</t>
        </is>
      </c>
      <c r="G46" s="2" t="inlineStr">
        <is>
          <t xml:space="preserve">Geometry</t>
        </is>
      </c>
      <c r="H46" s="2" t="inlineStr">
        <is>
          <t xml:space="preserve">Hashing / Maps</t>
        </is>
      </c>
      <c r="I46" s="2" t="inlineStr">
        <is>
          <t xml:space="preserve">Sets, Maps, Pairs, Nested loops</t>
        </is>
      </c>
      <c r="J46" s="2" t="inlineStr">
        <is>
          <t xml:space="preserve">Group point pairs by midpoint and diagonal length to count rectangles</t>
        </is>
      </c>
      <c r="K46" s="2" t="inlineStr">
        <is>
          <t xml:space="preserve">STL / Set; Геометрия</t>
        </is>
      </c>
      <c r="L46" s="9" t="str">
        <f>HYPERLINK("https://arena.olimpiici.com/#/catalog/640/problem/101608","open problem")</f>
        <v>open problem</v>
      </c>
    </row>
    <row r="47">
      <c r="A47" s="2" t="inlineStr">
        <is>
          <t xml:space="preserve">divide</t>
        </is>
      </c>
      <c r="B47" s="2" t="inlineStr">
        <is>
          <t xml:space="preserve">Autumn tournament</t>
        </is>
      </c>
      <c r="C47" s="8" t="inlineStr">
        <is>
          <t xml:space="preserve">C</t>
        </is>
      </c>
      <c r="D47" s="8">
        <v>2022</v>
      </c>
      <c r="E47" s="6">
        <v>4</v>
      </c>
      <c r="F47" s="2" t="inlineStr">
        <is>
          <t xml:space="preserve">Hard</t>
        </is>
      </c>
      <c r="G47" s="2" t="inlineStr">
        <is>
          <t xml:space="preserve">Number theory</t>
        </is>
      </c>
      <c r="H47" s="2" t="inlineStr">
        <is>
          <t xml:space="preserve">Binary search</t>
        </is>
      </c>
      <c r="I47" s="2" t="inlineStr">
        <is>
          <t xml:space="preserve">Vectors, Sorting, Two pointers</t>
        </is>
      </c>
      <c r="J47" s="2" t="inlineStr">
        <is>
          <t xml:space="preserve">Sieve divisors/multiples into position lists, answer ranges by binary search</t>
        </is>
      </c>
      <c r="K47" s="2" t="inlineStr">
        <is>
          <t xml:space="preserve">Математика / Решето на Ератостен; Двоично търсене (binary search)</t>
        </is>
      </c>
      <c r="L47" s="9" t="str">
        <f>HYPERLINK("https://arena.olimpiici.com/#/catalog/733/problem/101872","open problem")</f>
        <v>open problem</v>
      </c>
    </row>
    <row r="48">
      <c r="A48" s="2" t="inlineStr">
        <is>
          <t xml:space="preserve">expedition</t>
        </is>
      </c>
      <c r="B48" s="2" t="inlineStr">
        <is>
          <t xml:space="preserve">Autumn tournament</t>
        </is>
      </c>
      <c r="C48" s="8" t="inlineStr">
        <is>
          <t xml:space="preserve">C</t>
        </is>
      </c>
      <c r="D48" s="8">
        <v>2022</v>
      </c>
      <c r="E48" s="6">
        <v>4</v>
      </c>
      <c r="F48" s="2" t="inlineStr">
        <is>
          <t xml:space="preserve">Hard</t>
        </is>
      </c>
      <c r="G48" s="2" t="inlineStr">
        <is>
          <t xml:space="preserve">Sorting</t>
        </is>
      </c>
      <c r="H48" s="2" t="inlineStr">
        <is>
          <t xml:space="preserve">Binary search</t>
        </is>
      </c>
      <c r="I48" s="2" t="inlineStr">
        <is>
          <t xml:space="preserve">Sorting, Prefix sums, Arrays, Long long</t>
        </is>
      </c>
      <c r="J48" s="2" t="inlineStr">
        <is>
          <t xml:space="preserve">Split |A-D| into two cases and use prefix minima over sorted landing pads</t>
        </is>
      </c>
      <c r="K48" s="2" t="inlineStr">
        <is>
          <t xml:space="preserve">Сортиране (sorting)</t>
        </is>
      </c>
      <c r="L48" s="9" t="str">
        <f>HYPERLINK("https://arena.olimpiici.com/#/catalog/733/problem/101873","open problem")</f>
        <v>open problem</v>
      </c>
    </row>
    <row r="49">
      <c r="A49" s="2" t="inlineStr">
        <is>
          <t xml:space="preserve">outfit</t>
        </is>
      </c>
      <c r="B49" s="2" t="inlineStr">
        <is>
          <t xml:space="preserve">Autumn tournament</t>
        </is>
      </c>
      <c r="C49" s="8" t="inlineStr">
        <is>
          <t xml:space="preserve">C</t>
        </is>
      </c>
      <c r="D49" s="8">
        <v>2022</v>
      </c>
      <c r="E49" s="6">
        <v>4</v>
      </c>
      <c r="F49" s="2" t="inlineStr">
        <is>
          <t xml:space="preserve">Hard</t>
        </is>
      </c>
      <c r="G49" s="2" t="inlineStr">
        <is>
          <t xml:space="preserve">Greedy</t>
        </is>
      </c>
      <c r="H49" s="2" t="inlineStr">
        <is>
          <t xml:space="preserve">Data structures</t>
        </is>
      </c>
      <c r="I49" s="2" t="inlineStr">
        <is>
          <t xml:space="preserve">Priority queue, Sorting, Vectors</t>
        </is>
      </c>
      <c r="J49" s="2" t="inlineStr">
        <is>
          <t xml:space="preserve">Sweep outfits left to right, always serve the child with the earliest deadline</t>
        </is>
      </c>
      <c r="K49" s="2" t="inlineStr">
        <is>
          <t xml:space="preserve">Greedy; STL / Приоритетна опашка (priority_queue)</t>
        </is>
      </c>
      <c r="L49" s="9" t="str">
        <f>HYPERLINK("https://arena.olimpiici.com/#/catalog/733/problem/101874","open problem")</f>
        <v>open problem</v>
      </c>
    </row>
    <row r="50">
      <c r="A50" s="2" t="inlineStr">
        <is>
          <t xml:space="preserve">laundry</t>
        </is>
      </c>
      <c r="B50" s="2" t="inlineStr">
        <is>
          <t xml:space="preserve">Autumn tournament</t>
        </is>
      </c>
      <c r="C50" s="8" t="inlineStr">
        <is>
          <t xml:space="preserve">C</t>
        </is>
      </c>
      <c r="D50" s="8">
        <v>2023</v>
      </c>
      <c r="E50" s="7">
        <v>5</v>
      </c>
      <c r="F50" s="2" t="inlineStr">
        <is>
          <t xml:space="preserve">Very hard</t>
        </is>
      </c>
      <c r="G50" s="2" t="inlineStr">
        <is>
          <t xml:space="preserve">Binary search</t>
        </is>
      </c>
      <c r="H50" s="2" t="inlineStr">
        <is>
          <t xml:space="preserve">Math / Formula</t>
        </is>
      </c>
      <c r="I50" s="2" t="inlineStr">
        <is>
          <t xml:space="preserve">Long long, Math, Loops</t>
        </is>
      </c>
      <c r="J50" s="2" t="inlineStr">
        <is>
          <t xml:space="preserve">Binary search the inconvenience; count baskets reachable within that time</t>
        </is>
      </c>
      <c r="K50" s="2" t="inlineStr">
        <is>
          <t xml:space="preserve">Двоично търсене по отговора (binary search)</t>
        </is>
      </c>
      <c r="L50" s="9" t="str">
        <f>HYPERLINK("https://arena.olimpiici.com/#/catalog/789/problem/102065","open problem")</f>
        <v>open problem</v>
      </c>
    </row>
    <row r="51">
      <c r="A51" s="2" t="inlineStr">
        <is>
          <t xml:space="preserve">nature</t>
        </is>
      </c>
      <c r="B51" s="2" t="inlineStr">
        <is>
          <t xml:space="preserve">Autumn tournament</t>
        </is>
      </c>
      <c r="C51" s="8" t="inlineStr">
        <is>
          <t xml:space="preserve">C</t>
        </is>
      </c>
      <c r="D51" s="8">
        <v>2023</v>
      </c>
      <c r="E51" s="6">
        <v>4</v>
      </c>
      <c r="F51" s="2" t="inlineStr">
        <is>
          <t xml:space="preserve">Hard</t>
        </is>
      </c>
      <c r="G51" s="2" t="inlineStr">
        <is>
          <t xml:space="preserve">Greedy</t>
        </is>
      </c>
      <c r="H51" s="2" t="inlineStr">
        <is>
          <t xml:space="preserve">Prefix sums</t>
        </is>
      </c>
      <c r="I51" s="2" t="inlineStr">
        <is>
          <t xml:space="preserve">Arrays, Prefix sums, Long long</t>
        </is>
      </c>
      <c r="J51" s="2" t="inlineStr">
        <is>
          <t xml:space="preserve">Cost comes from adjacent differences: sum the positive rises and falls</t>
        </is>
      </c>
      <c r="K51" s="2" t="inlineStr">
        <is>
          <t xml:space="preserve"/>
        </is>
      </c>
      <c r="L51" s="9" t="str">
        <f>HYPERLINK("https://arena.olimpiici.com/#/catalog/789/problem/102066","open problem")</f>
        <v>open problem</v>
      </c>
    </row>
    <row r="52">
      <c r="A52" s="2" t="inlineStr">
        <is>
          <t xml:space="preserve">raspberry</t>
        </is>
      </c>
      <c r="B52" s="2" t="inlineStr">
        <is>
          <t xml:space="preserve">Autumn tournament</t>
        </is>
      </c>
      <c r="C52" s="8" t="inlineStr">
        <is>
          <t xml:space="preserve">C</t>
        </is>
      </c>
      <c r="D52" s="8">
        <v>2023</v>
      </c>
      <c r="E52" s="5">
        <v>3</v>
      </c>
      <c r="F52" s="2" t="inlineStr">
        <is>
          <t xml:space="preserve">Medium</t>
        </is>
      </c>
      <c r="G52" s="2" t="inlineStr">
        <is>
          <t xml:space="preserve">Dynamic programming</t>
        </is>
      </c>
      <c r="H52" s="2" t="inlineStr">
        <is>
          <t xml:space="preserve">Grid/Matrix</t>
        </is>
      </c>
      <c r="I52" s="2" t="inlineStr">
        <is>
          <t xml:space="preserve">2D arrays, Grid/Matrix, Long long</t>
        </is>
      </c>
      <c r="J52" s="2" t="inlineStr">
        <is>
          <t xml:space="preserve">Suffix-maximum DP over the grid, then sum the best value of every start cell</t>
        </is>
      </c>
      <c r="K52" s="2" t="inlineStr">
        <is>
          <t xml:space="preserve">Динамично програмиране (Dynamic programming)</t>
        </is>
      </c>
      <c r="L52" s="9" t="str">
        <f>HYPERLINK("https://arena.olimpiici.com/#/catalog/789/problem/102067","open problem")</f>
        <v>open problem</v>
      </c>
    </row>
    <row r="53">
      <c r="A53" s="2" t="inlineStr">
        <is>
          <t xml:space="preserve">firestations</t>
        </is>
      </c>
      <c r="B53" s="2" t="inlineStr">
        <is>
          <t xml:space="preserve">Autumn tournament</t>
        </is>
      </c>
      <c r="C53" s="8" t="inlineStr">
        <is>
          <t xml:space="preserve">C</t>
        </is>
      </c>
      <c r="D53" s="8">
        <v>2024</v>
      </c>
      <c r="E53" s="7">
        <v>5</v>
      </c>
      <c r="F53" s="2" t="inlineStr">
        <is>
          <t xml:space="preserve">Very hard</t>
        </is>
      </c>
      <c r="G53" s="2" t="inlineStr">
        <is>
          <t xml:space="preserve">Data structures</t>
        </is>
      </c>
      <c r="H53" s="2" t="inlineStr">
        <is>
          <t xml:space="preserve">Binary search</t>
        </is>
      </c>
      <c r="I53" s="2" t="inlineStr">
        <is>
          <t xml:space="preserve">Stacks, Arrays, Long long</t>
        </is>
      </c>
      <c r="J53" s="2" t="inlineStr">
        <is>
          <t xml:space="preserve">Monotonic stack for visibility, binary search the largest response time</t>
        </is>
      </c>
      <c r="K53" s="2" t="inlineStr">
        <is>
          <t xml:space="preserve">Двоично търсене по отговора (binary search); Монотонен стек</t>
        </is>
      </c>
      <c r="L53" s="9" t="str">
        <f>HYPERLINK("https://arena.olimpiici.com/#/catalog/833/problem/102227","open problem")</f>
        <v>open problem</v>
      </c>
    </row>
    <row r="54">
      <c r="A54" s="2" t="inlineStr">
        <is>
          <t xml:space="preserve">signs</t>
        </is>
      </c>
      <c r="B54" s="2" t="inlineStr">
        <is>
          <t xml:space="preserve">Autumn tournament</t>
        </is>
      </c>
      <c r="C54" s="8" t="inlineStr">
        <is>
          <t xml:space="preserve">C</t>
        </is>
      </c>
      <c r="D54" s="8">
        <v>2024</v>
      </c>
      <c r="E54" s="7">
        <v>5</v>
      </c>
      <c r="F54" s="2" t="inlineStr">
        <is>
          <t xml:space="preserve">Very hard</t>
        </is>
      </c>
      <c r="G54" s="2" t="inlineStr">
        <is>
          <t xml:space="preserve">Data structures</t>
        </is>
      </c>
      <c r="H54" s="2" t="inlineStr">
        <is>
          <t xml:space="preserve">Prefix sums</t>
        </is>
      </c>
      <c r="I54" s="2" t="inlineStr">
        <is>
          <t xml:space="preserve">Stacks, Arrays, Long long</t>
        </is>
      </c>
      <c r="J54" s="2" t="inlineStr">
        <is>
          <t xml:space="preserve">Stack of active speed limits plus offline processing of the change queries</t>
        </is>
      </c>
      <c r="K54" s="2" t="inlineStr">
        <is>
          <t xml:space="preserve">STL / Стек (stack); Офлайн Заявки</t>
        </is>
      </c>
      <c r="L54" s="9" t="str">
        <f>HYPERLINK("https://arena.olimpiici.com/#/catalog/833/problem/102228","open problem")</f>
        <v>open problem</v>
      </c>
    </row>
    <row r="55">
      <c r="A55" s="2" t="inlineStr">
        <is>
          <t xml:space="preserve">sums</t>
        </is>
      </c>
      <c r="B55" s="2" t="inlineStr">
        <is>
          <t xml:space="preserve">Autumn tournament</t>
        </is>
      </c>
      <c r="C55" s="8" t="inlineStr">
        <is>
          <t xml:space="preserve">C</t>
        </is>
      </c>
      <c r="D55" s="8">
        <v>2024</v>
      </c>
      <c r="E55" s="6">
        <v>4</v>
      </c>
      <c r="F55" s="2" t="inlineStr">
        <is>
          <t xml:space="preserve">Hard</t>
        </is>
      </c>
      <c r="G55" s="2" t="inlineStr">
        <is>
          <t xml:space="preserve">Dynamic programming</t>
        </is>
      </c>
      <c r="H55" s="2" t="inlineStr">
        <is>
          <t xml:space="preserve">Combinatorics</t>
        </is>
      </c>
      <c r="I55" s="2" t="inlineStr">
        <is>
          <t xml:space="preserve">Arrays, Long long, Counting array</t>
        </is>
      </c>
      <c r="J55" s="2" t="inlineStr">
        <is>
          <t xml:space="preserve">Subset-sum DP over 70 values, also counting how many subsets reach each sum</t>
        </is>
      </c>
      <c r="K55" s="2" t="inlineStr">
        <is>
          <t xml:space="preserve">Рекурсия (recursion); Динамично програмиране (Dynamic programming)</t>
        </is>
      </c>
      <c r="L55" s="9" t="str">
        <f>HYPERLINK("https://arena.olimpiici.com/#/catalog/833/problem/102229","open problem")</f>
        <v>open problem</v>
      </c>
    </row>
    <row r="56">
      <c r="A56" s="2" t="inlineStr">
        <is>
          <t xml:space="preserve">special</t>
        </is>
      </c>
      <c r="B56" s="2" t="inlineStr">
        <is>
          <t xml:space="preserve">Autumn tournament</t>
        </is>
      </c>
      <c r="C56" s="8" t="inlineStr">
        <is>
          <t xml:space="preserve">C</t>
        </is>
      </c>
      <c r="D56" s="8">
        <v>2025</v>
      </c>
      <c r="E56" s="5">
        <v>3</v>
      </c>
      <c r="F56" s="2" t="inlineStr">
        <is>
          <t xml:space="preserve">Medium</t>
        </is>
      </c>
      <c r="G56" s="2" t="inlineStr">
        <is>
          <t xml:space="preserve">Two pointers / Sliding window</t>
        </is>
      </c>
      <c r="H56" s="2" t="inlineStr">
        <is>
          <t xml:space="preserve">Greedy</t>
        </is>
      </c>
      <c r="I56" s="2" t="inlineStr">
        <is>
          <t xml:space="preserve">Strings, Two pointers, Chars</t>
        </is>
      </c>
      <c r="J56" s="2" t="inlineStr">
        <is>
          <t xml:space="preserve">Greedy prefix and suffix matching of s inside t pins the changed position</t>
        </is>
      </c>
      <c r="K56" s="2" t="inlineStr">
        <is>
          <t xml:space="preserve"/>
        </is>
      </c>
      <c r="L56" s="9" t="str">
        <f>HYPERLINK("https://arena.olimpiici.com/#/catalog/895/problem/102471","open problem")</f>
        <v>open problem</v>
      </c>
    </row>
    <row r="57">
      <c r="A57" s="2" t="inlineStr">
        <is>
          <t xml:space="preserve">managers</t>
        </is>
      </c>
      <c r="B57" s="2" t="inlineStr">
        <is>
          <t xml:space="preserve">Autumn tournament</t>
        </is>
      </c>
      <c r="C57" s="8" t="inlineStr">
        <is>
          <t xml:space="preserve">C</t>
        </is>
      </c>
      <c r="D57" s="8">
        <v>2025</v>
      </c>
      <c r="E57" s="7">
        <v>5</v>
      </c>
      <c r="F57" s="2" t="inlineStr">
        <is>
          <t xml:space="preserve">Very hard</t>
        </is>
      </c>
      <c r="G57" s="2" t="inlineStr">
        <is>
          <t xml:space="preserve">Trees</t>
        </is>
      </c>
      <c r="H57" s="2" t="inlineStr">
        <is>
          <t xml:space="preserve">Data structures</t>
        </is>
      </c>
      <c r="I57" s="2" t="inlineStr">
        <is>
          <t xml:space="preserve">Vectors, Recursion, Long long</t>
        </is>
      </c>
      <c r="J57" s="2" t="inlineStr">
        <is>
          <t xml:space="preserve">Path-compression promotions in a rooted tree; maintain the sum of depths</t>
        </is>
      </c>
      <c r="K57" s="2" t="inlineStr">
        <is>
          <t xml:space="preserve"/>
        </is>
      </c>
      <c r="L57" s="9" t="str">
        <f>HYPERLINK("https://arena.olimpiici.com/#/catalog/895/problem/102472","open problem")</f>
        <v>open problem</v>
      </c>
    </row>
    <row r="58">
      <c r="A58" s="2" t="inlineStr">
        <is>
          <t xml:space="preserve">oriand</t>
        </is>
      </c>
      <c r="B58" s="2" t="inlineStr">
        <is>
          <t xml:space="preserve">Autumn tournament</t>
        </is>
      </c>
      <c r="C58" s="8" t="inlineStr">
        <is>
          <t xml:space="preserve">C</t>
        </is>
      </c>
      <c r="D58" s="8">
        <v>2025</v>
      </c>
      <c r="E58" s="7">
        <v>5</v>
      </c>
      <c r="F58" s="2" t="inlineStr">
        <is>
          <t xml:space="preserve">Very hard</t>
        </is>
      </c>
      <c r="G58" s="2" t="inlineStr">
        <is>
          <t xml:space="preserve">Bit manipulation</t>
        </is>
      </c>
      <c r="H58" s="2" t="inlineStr">
        <is>
          <t xml:space="preserve">Two pointers / Sliding window</t>
        </is>
      </c>
      <c r="I58" s="2" t="inlineStr">
        <is>
          <t xml:space="preserve">Bitmask, Long long, Two pointers</t>
        </is>
      </c>
      <c r="J58" s="2" t="inlineStr">
        <is>
          <t xml:space="preserve">OR grows and AND shrinks monotonically; count split points per interval</t>
        </is>
      </c>
      <c r="K58" s="2" t="inlineStr">
        <is>
          <t xml:space="preserve"/>
        </is>
      </c>
      <c r="L58" s="9" t="str">
        <f>HYPERLINK("https://arena.olimpiici.com/#/catalog/895/problem/102473","open problem")</f>
        <v>open problem</v>
      </c>
    </row>
    <row r="59">
      <c r="A59" s="2" t="inlineStr">
        <is>
          <t xml:space="preserve">happy</t>
        </is>
      </c>
      <c r="B59" s="2" t="inlineStr">
        <is>
          <t xml:space="preserve">Autumn tournament</t>
        </is>
      </c>
      <c r="C59" s="8" t="inlineStr">
        <is>
          <t xml:space="preserve">D</t>
        </is>
      </c>
      <c r="D59" s="8">
        <v>2007</v>
      </c>
      <c r="E59" s="4">
        <v>2</v>
      </c>
      <c r="F59" s="2" t="inlineStr">
        <is>
          <t xml:space="preserve">Easy</t>
        </is>
      </c>
      <c r="G59" s="2" t="inlineStr">
        <is>
          <t xml:space="preserve">Implementation / Simulation</t>
        </is>
      </c>
      <c r="H59" s="2" t="inlineStr">
        <is>
          <t xml:space="preserve">Brute force</t>
        </is>
      </c>
      <c r="I59" s="2" t="inlineStr">
        <is>
          <t xml:space="preserve">Arrays, Loops, Math</t>
        </is>
      </c>
      <c r="J59" s="2" t="inlineStr">
        <is>
          <t xml:space="preserve">Classify each year by digit counts, then take the closest pair</t>
        </is>
      </c>
      <c r="K59" s="2" t="inlineStr">
        <is>
          <t xml:space="preserve"/>
        </is>
      </c>
      <c r="L59" s="9" t="str">
        <f>HYPERLINK("https://arena.olimpiici.com/#/catalog/14/problem/100010","open problem")</f>
        <v>open problem</v>
      </c>
    </row>
    <row r="60">
      <c r="A60" s="2" t="inlineStr">
        <is>
          <t xml:space="preserve">words</t>
        </is>
      </c>
      <c r="B60" s="2" t="inlineStr">
        <is>
          <t xml:space="preserve">Autumn tournament</t>
        </is>
      </c>
      <c r="C60" s="8" t="inlineStr">
        <is>
          <t xml:space="preserve">D</t>
        </is>
      </c>
      <c r="D60" s="8">
        <v>2007</v>
      </c>
      <c r="E60" s="5">
        <v>3</v>
      </c>
      <c r="F60" s="2" t="inlineStr">
        <is>
          <t xml:space="preserve">Medium</t>
        </is>
      </c>
      <c r="G60" s="2" t="inlineStr">
        <is>
          <t xml:space="preserve">Recursion / Backtracking</t>
        </is>
      </c>
      <c r="H60" s="2" t="inlineStr">
        <is>
          <t xml:space="preserve">Graph traversal (BFS/DFS)</t>
        </is>
      </c>
      <c r="I60" s="2" t="inlineStr">
        <is>
          <t xml:space="preserve">Strings, Recursion, Arrays</t>
        </is>
      </c>
      <c r="J60" s="2" t="inlineStr">
        <is>
          <t xml:space="preserve">Backtrack over word chains where each word starts with the previous last letter</t>
        </is>
      </c>
      <c r="K60" s="2" t="inlineStr">
        <is>
          <t xml:space="preserve"/>
        </is>
      </c>
      <c r="L60" s="9" t="str">
        <f>HYPERLINK("https://arena.olimpiici.com/#/catalog/14/problem/100011","open problem")</f>
        <v>open problem</v>
      </c>
    </row>
    <row r="61">
      <c r="A61" s="2" t="inlineStr">
        <is>
          <t xml:space="preserve">div</t>
        </is>
      </c>
      <c r="B61" s="2" t="inlineStr">
        <is>
          <t xml:space="preserve">Autumn tournament</t>
        </is>
      </c>
      <c r="C61" s="8" t="inlineStr">
        <is>
          <t xml:space="preserve">D</t>
        </is>
      </c>
      <c r="D61" s="8">
        <v>2007</v>
      </c>
      <c r="E61" s="3">
        <v>1</v>
      </c>
      <c r="F61" s="2" t="inlineStr">
        <is>
          <t xml:space="preserve">Very easy</t>
        </is>
      </c>
      <c r="G61" s="2" t="inlineStr">
        <is>
          <t xml:space="preserve">Math / Formula</t>
        </is>
      </c>
      <c r="H61" s="2" t="inlineStr">
        <is>
          <t xml:space="preserve"/>
        </is>
      </c>
      <c r="I61" s="2" t="inlineStr">
        <is>
          <t xml:space="preserve">Long long, Math</t>
        </is>
      </c>
      <c r="J61" s="2" t="inlineStr">
        <is>
          <t xml:space="preserve">Count multiples of c in [a,b] as b/c - (a-1)/c using 64-bit integers</t>
        </is>
      </c>
      <c r="K61" s="2" t="inlineStr">
        <is>
          <t xml:space="preserve"/>
        </is>
      </c>
      <c r="L61" s="9" t="str">
        <f>HYPERLINK("https://arena.olimpiici.com/#/catalog/14/problem/100012","open problem")</f>
        <v>open problem</v>
      </c>
    </row>
    <row r="62">
      <c r="A62" s="2" t="inlineStr">
        <is>
          <t xml:space="preserve">digit</t>
        </is>
      </c>
      <c r="B62" s="2" t="inlineStr">
        <is>
          <t xml:space="preserve">Autumn tournament</t>
        </is>
      </c>
      <c r="C62" s="8" t="inlineStr">
        <is>
          <t xml:space="preserve">D</t>
        </is>
      </c>
      <c r="D62" s="8">
        <v>2008</v>
      </c>
      <c r="E62" s="3">
        <v>1</v>
      </c>
      <c r="F62" s="2" t="inlineStr">
        <is>
          <t xml:space="preserve">Very easy</t>
        </is>
      </c>
      <c r="G62" s="2" t="inlineStr">
        <is>
          <t xml:space="preserve">Brute force</t>
        </is>
      </c>
      <c r="H62" s="2" t="inlineStr">
        <is>
          <t xml:space="preserve">Math / Formula</t>
        </is>
      </c>
      <c r="I62" s="2" t="inlineStr">
        <is>
          <t xml:space="preserve">Loops, Math, Chars</t>
        </is>
      </c>
      <c r="J62" s="2" t="inlineStr">
        <is>
          <t xml:space="preserve">Loop over a..b, split each number into digits and test divisibility</t>
        </is>
      </c>
      <c r="K62" s="2" t="inlineStr">
        <is>
          <t xml:space="preserve">Математика / Отделяне на цифри от число</t>
        </is>
      </c>
      <c r="L62" s="9" t="str">
        <f>HYPERLINK("https://arena.olimpiici.com/#/catalog/20/problem/100025","open problem")</f>
        <v>open problem</v>
      </c>
    </row>
    <row r="63">
      <c r="A63" s="2" t="inlineStr">
        <is>
          <t xml:space="preserve">roads</t>
        </is>
      </c>
      <c r="B63" s="2" t="inlineStr">
        <is>
          <t xml:space="preserve">Autumn tournament</t>
        </is>
      </c>
      <c r="C63" s="8" t="inlineStr">
        <is>
          <t xml:space="preserve">D</t>
        </is>
      </c>
      <c r="D63" s="8">
        <v>2008</v>
      </c>
      <c r="E63" s="4">
        <v>2</v>
      </c>
      <c r="F63" s="2" t="inlineStr">
        <is>
          <t xml:space="preserve">Easy</t>
        </is>
      </c>
      <c r="G63" s="2" t="inlineStr">
        <is>
          <t xml:space="preserve">Counting / Frequency arrays</t>
        </is>
      </c>
      <c r="H63" s="2" t="inlineStr">
        <is>
          <t xml:space="preserve">Implementation / Simulation</t>
        </is>
      </c>
      <c r="I63" s="2" t="inlineStr">
        <is>
          <t xml:space="preserve">Arrays, Loops, Long long</t>
        </is>
      </c>
      <c r="J63" s="2" t="inlineStr">
        <is>
          <t xml:space="preserve">Accumulate asphalt per settlement, careful with the odd-length split rule</t>
        </is>
      </c>
      <c r="K63" s="2" t="inlineStr">
        <is>
          <t xml:space="preserve">Броене с масив (counting)</t>
        </is>
      </c>
      <c r="L63" s="9" t="str">
        <f>HYPERLINK("https://arena.olimpiici.com/#/catalog/20/problem/100026","open problem")</f>
        <v>open problem</v>
      </c>
    </row>
    <row r="64">
      <c r="A64" s="2" t="inlineStr">
        <is>
          <t xml:space="preserve">choco</t>
        </is>
      </c>
      <c r="B64" s="2" t="inlineStr">
        <is>
          <t xml:space="preserve">Autumn tournament</t>
        </is>
      </c>
      <c r="C64" s="8" t="inlineStr">
        <is>
          <t xml:space="preserve">D</t>
        </is>
      </c>
      <c r="D64" s="8">
        <v>2008</v>
      </c>
      <c r="E64" s="4">
        <v>2</v>
      </c>
      <c r="F64" s="2" t="inlineStr">
        <is>
          <t xml:space="preserve">Easy</t>
        </is>
      </c>
      <c r="G64" s="2" t="inlineStr">
        <is>
          <t xml:space="preserve">Counting / Frequency arrays</t>
        </is>
      </c>
      <c r="H64" s="2" t="inlineStr">
        <is>
          <t xml:space="preserve">String processing</t>
        </is>
      </c>
      <c r="I64" s="2" t="inlineStr">
        <is>
          <t xml:space="preserve">Strings, Loops, Chars</t>
        </is>
      </c>
      <c r="J64" s="2" t="inlineStr">
        <is>
          <t xml:space="preserve">Count maximal blocks of the chosen letter, breaks follow from the edges</t>
        </is>
      </c>
      <c r="K64" s="2" t="inlineStr">
        <is>
          <t xml:space="preserve">Разделяне на последователности</t>
        </is>
      </c>
      <c r="L64" s="9" t="str">
        <f>HYPERLINK("https://arena.olimpiici.com/#/catalog/20/problem/100027","open problem")</f>
        <v>open problem</v>
      </c>
    </row>
    <row r="65">
      <c r="A65" s="2" t="inlineStr">
        <is>
          <t xml:space="preserve">rect</t>
        </is>
      </c>
      <c r="B65" s="2" t="inlineStr">
        <is>
          <t xml:space="preserve">Autumn tournament</t>
        </is>
      </c>
      <c r="C65" s="8" t="inlineStr">
        <is>
          <t xml:space="preserve">D</t>
        </is>
      </c>
      <c r="D65" s="8">
        <v>2009</v>
      </c>
      <c r="E65" s="4">
        <v>2</v>
      </c>
      <c r="F65" s="2" t="inlineStr">
        <is>
          <t xml:space="preserve">Easy</t>
        </is>
      </c>
      <c r="G65" s="2" t="inlineStr">
        <is>
          <t xml:space="preserve">Number theory</t>
        </is>
      </c>
      <c r="H65" s="2" t="inlineStr">
        <is>
          <t xml:space="preserve">Math / Formula</t>
        </is>
      </c>
      <c r="I65" s="2" t="inlineStr">
        <is>
          <t xml:space="preserve">Loops, Math</t>
        </is>
      </c>
      <c r="J65" s="2" t="inlineStr">
        <is>
          <t xml:space="preserve">Enumerate divisors up to sqrt(s): count pairs, minimum perimeter at the closest pair</t>
        </is>
      </c>
      <c r="K65" s="2" t="inlineStr">
        <is>
          <t xml:space="preserve">Математика / Делимост</t>
        </is>
      </c>
      <c r="L65" s="9" t="str">
        <f>HYPERLINK("https://arena.olimpiici.com/#/catalog/26/problem/100040","open problem")</f>
        <v>open problem</v>
      </c>
    </row>
    <row r="66">
      <c r="A66" s="2" t="inlineStr">
        <is>
          <t xml:space="preserve">maxbin</t>
        </is>
      </c>
      <c r="B66" s="2" t="inlineStr">
        <is>
          <t xml:space="preserve">Autumn tournament</t>
        </is>
      </c>
      <c r="C66" s="8" t="inlineStr">
        <is>
          <t xml:space="preserve">D</t>
        </is>
      </c>
      <c r="D66" s="8">
        <v>2009</v>
      </c>
      <c r="E66" s="3">
        <v>1</v>
      </c>
      <c r="F66" s="2" t="inlineStr">
        <is>
          <t xml:space="preserve">Very easy</t>
        </is>
      </c>
      <c r="G66" s="2" t="inlineStr">
        <is>
          <t xml:space="preserve">Counting / Frequency arrays</t>
        </is>
      </c>
      <c r="H66" s="2" t="inlineStr">
        <is>
          <t xml:space="preserve">Sorting</t>
        </is>
      </c>
      <c r="I66" s="2" t="inlineStr">
        <is>
          <t xml:space="preserve">Strings, Loops, Chars</t>
        </is>
      </c>
      <c r="J66" s="2" t="inlineStr">
        <is>
          <t xml:space="preserve">Count the ones and print them before all the zeros</t>
        </is>
      </c>
      <c r="K66" s="2" t="inlineStr">
        <is>
          <t xml:space="preserve">Сортиране с броене (counting sort); Сортиране (sorting)</t>
        </is>
      </c>
      <c r="L66" s="9" t="str">
        <f>HYPERLINK("https://arena.olimpiici.com/#/catalog/26/problem/100041","open problem")</f>
        <v>open problem</v>
      </c>
    </row>
    <row r="67">
      <c r="A67" s="2" t="inlineStr">
        <is>
          <t xml:space="preserve">garden</t>
        </is>
      </c>
      <c r="B67" s="2" t="inlineStr">
        <is>
          <t xml:space="preserve">Autumn tournament</t>
        </is>
      </c>
      <c r="C67" s="8" t="inlineStr">
        <is>
          <t xml:space="preserve">D</t>
        </is>
      </c>
      <c r="D67" s="8">
        <v>2009</v>
      </c>
      <c r="E67" s="5">
        <v>3</v>
      </c>
      <c r="F67" s="2" t="inlineStr">
        <is>
          <t xml:space="preserve">Medium</t>
        </is>
      </c>
      <c r="G67" s="2" t="inlineStr">
        <is>
          <t xml:space="preserve">Implementation / Simulation</t>
        </is>
      </c>
      <c r="H67" s="2" t="inlineStr">
        <is>
          <t xml:space="preserve">Number theory</t>
        </is>
      </c>
      <c r="I67" s="2" t="inlineStr">
        <is>
          <t xml:space="preserve">Arrays, Loops, Math</t>
        </is>
      </c>
      <c r="J67" s="2" t="inlineStr">
        <is>
          <t xml:space="preserve">Walk the perimeter in steps of P (period is gcd), then simulate the whitewashing trips</t>
        </is>
      </c>
      <c r="K67" s="2" t="inlineStr">
        <is>
          <t xml:space="preserve"/>
        </is>
      </c>
      <c r="L67" s="9" t="str">
        <f>HYPERLINK("https://arena.olimpiici.com/#/catalog/26/problem/100042","open problem")</f>
        <v>open problem</v>
      </c>
    </row>
    <row r="68">
      <c r="A68" s="2" t="inlineStr">
        <is>
          <t xml:space="preserve">seq</t>
        </is>
      </c>
      <c r="B68" s="2" t="inlineStr">
        <is>
          <t xml:space="preserve">Autumn tournament</t>
        </is>
      </c>
      <c r="C68" s="8" t="inlineStr">
        <is>
          <t xml:space="preserve">D</t>
        </is>
      </c>
      <c r="D68" s="8">
        <v>2010</v>
      </c>
      <c r="E68" s="4">
        <v>2</v>
      </c>
      <c r="F68" s="2" t="inlineStr">
        <is>
          <t xml:space="preserve">Easy</t>
        </is>
      </c>
      <c r="G68" s="2" t="inlineStr">
        <is>
          <t xml:space="preserve">Counting / Frequency arrays</t>
        </is>
      </c>
      <c r="H68" s="2" t="inlineStr">
        <is>
          <t xml:space="preserve">Two pointers / Sliding window</t>
        </is>
      </c>
      <c r="I68" s="2" t="inlineStr">
        <is>
          <t xml:space="preserve">Arrays, Loops, Counting array</t>
        </is>
      </c>
      <c r="J68" s="2" t="inlineStr">
        <is>
          <t xml:space="preserve">Longest equal run plus sliding window of 4 containing 1, 2, 4 and 8</t>
        </is>
      </c>
      <c r="K68" s="2" t="inlineStr">
        <is>
          <t xml:space="preserve">Разделяне на последователности; Броене с масив (counting)</t>
        </is>
      </c>
      <c r="L68" s="9" t="str">
        <f>HYPERLINK("https://arena.olimpiici.com/#/catalog/32/problem/100055","open problem")</f>
        <v>open problem</v>
      </c>
    </row>
    <row r="69">
      <c r="A69" s="2" t="inlineStr">
        <is>
          <t xml:space="preserve">parking</t>
        </is>
      </c>
      <c r="B69" s="2" t="inlineStr">
        <is>
          <t xml:space="preserve">Autumn tournament</t>
        </is>
      </c>
      <c r="C69" s="8" t="inlineStr">
        <is>
          <t xml:space="preserve">D</t>
        </is>
      </c>
      <c r="D69" s="8">
        <v>2010</v>
      </c>
      <c r="E69" s="4">
        <v>2</v>
      </c>
      <c r="F69" s="2" t="inlineStr">
        <is>
          <t xml:space="preserve">Easy</t>
        </is>
      </c>
      <c r="G69" s="2" t="inlineStr">
        <is>
          <t xml:space="preserve">String processing</t>
        </is>
      </c>
      <c r="H69" s="2" t="inlineStr">
        <is>
          <t xml:space="preserve">Implementation / Simulation</t>
        </is>
      </c>
      <c r="I69" s="2" t="inlineStr">
        <is>
          <t xml:space="preserve">Strings, Arrays, Chars</t>
        </is>
      </c>
      <c r="J69" s="2" t="inlineStr">
        <is>
          <t xml:space="preserve">Mark forbidden cells around D, B and S, then count free slots</t>
        </is>
      </c>
      <c r="K69" s="2" t="inlineStr">
        <is>
          <t xml:space="preserve">Basic / Обхождане</t>
        </is>
      </c>
      <c r="L69" s="9" t="str">
        <f>HYPERLINK("https://arena.olimpiici.com/#/catalog/32/problem/100056","open problem")</f>
        <v>open problem</v>
      </c>
    </row>
    <row r="70">
      <c r="A70" s="2" t="inlineStr">
        <is>
          <t xml:space="preserve">planes</t>
        </is>
      </c>
      <c r="B70" s="2" t="inlineStr">
        <is>
          <t xml:space="preserve">Autumn tournament</t>
        </is>
      </c>
      <c r="C70" s="8" t="inlineStr">
        <is>
          <t xml:space="preserve">D</t>
        </is>
      </c>
      <c r="D70" s="8">
        <v>2010</v>
      </c>
      <c r="E70" s="5">
        <v>3</v>
      </c>
      <c r="F70" s="2" t="inlineStr">
        <is>
          <t xml:space="preserve">Medium</t>
        </is>
      </c>
      <c r="G70" s="2" t="inlineStr">
        <is>
          <t xml:space="preserve">Implementation / Simulation</t>
        </is>
      </c>
      <c r="H70" s="2" t="inlineStr">
        <is>
          <t xml:space="preserve">Number theory</t>
        </is>
      </c>
      <c r="I70" s="2" t="inlineStr">
        <is>
          <t xml:space="preserve">Arrays, Loops, Math</t>
        </is>
      </c>
      <c r="J70" s="2" t="inlineStr">
        <is>
          <t xml:space="preserve">Simulate both planes hopping round the circle, count meetings and crossings</t>
        </is>
      </c>
      <c r="K70" s="2" t="inlineStr">
        <is>
          <t xml:space="preserve"/>
        </is>
      </c>
      <c r="L70" s="9" t="str">
        <f>HYPERLINK("https://arena.olimpiici.com/#/catalog/32/problem/100057","open problem")</f>
        <v>open problem</v>
      </c>
    </row>
    <row r="71">
      <c r="A71" s="2" t="inlineStr">
        <is>
          <t xml:space="preserve">symmetric</t>
        </is>
      </c>
      <c r="B71" s="2" t="inlineStr">
        <is>
          <t xml:space="preserve">Autumn tournament</t>
        </is>
      </c>
      <c r="C71" s="8" t="inlineStr">
        <is>
          <t xml:space="preserve">D</t>
        </is>
      </c>
      <c r="D71" s="8">
        <v>2011</v>
      </c>
      <c r="E71" s="5">
        <v>3</v>
      </c>
      <c r="F71" s="2" t="inlineStr">
        <is>
          <t xml:space="preserve">Medium</t>
        </is>
      </c>
      <c r="G71" s="2" t="inlineStr">
        <is>
          <t xml:space="preserve">String processing</t>
        </is>
      </c>
      <c r="H71" s="2" t="inlineStr">
        <is>
          <t xml:space="preserve">Brute force</t>
        </is>
      </c>
      <c r="I71" s="2" t="inlineStr">
        <is>
          <t xml:space="preserve">Strings, Loops, Chars</t>
        </is>
      </c>
      <c r="J71" s="2" t="inlineStr">
        <is>
          <t xml:space="preserve">Find the longest palindromic suffix, mirror the rest onto the end</t>
        </is>
      </c>
      <c r="K71" s="2" t="inlineStr">
        <is>
          <t xml:space="preserve">Палиндроми</t>
        </is>
      </c>
      <c r="L71" s="9" t="str">
        <f>HYPERLINK("https://arena.olimpiici.com/#/catalog/38/problem/100070","open problem")</f>
        <v>open problem</v>
      </c>
    </row>
    <row r="72">
      <c r="A72" s="2" t="inlineStr">
        <is>
          <t xml:space="preserve">profit</t>
        </is>
      </c>
      <c r="B72" s="2" t="inlineStr">
        <is>
          <t xml:space="preserve">Autumn tournament</t>
        </is>
      </c>
      <c r="C72" s="8" t="inlineStr">
        <is>
          <t xml:space="preserve">D</t>
        </is>
      </c>
      <c r="D72" s="8">
        <v>2011</v>
      </c>
      <c r="E72" s="4">
        <v>2</v>
      </c>
      <c r="F72" s="2" t="inlineStr">
        <is>
          <t xml:space="preserve">Easy</t>
        </is>
      </c>
      <c r="G72" s="2" t="inlineStr">
        <is>
          <t xml:space="preserve">Sorting</t>
        </is>
      </c>
      <c r="H72" s="2" t="inlineStr">
        <is>
          <t xml:space="preserve">Greedy</t>
        </is>
      </c>
      <c r="I72" s="2" t="inlineStr">
        <is>
          <t xml:space="preserve">Sorting, Arrays, Long long</t>
        </is>
      </c>
      <c r="J72" s="2" t="inlineStr">
        <is>
          <t xml:space="preserve">Pair the largest boxes with the largest monitors after sorting both</t>
        </is>
      </c>
      <c r="K72" s="2" t="inlineStr">
        <is>
          <t xml:space="preserve">Сортиране (sorting)</t>
        </is>
      </c>
      <c r="L72" s="9" t="str">
        <f>HYPERLINK("https://arena.olimpiici.com/#/catalog/38/problem/100071","open problem")</f>
        <v>open problem</v>
      </c>
    </row>
    <row r="73">
      <c r="A73" s="2" t="inlineStr">
        <is>
          <t xml:space="preserve">frequency</t>
        </is>
      </c>
      <c r="B73" s="2" t="inlineStr">
        <is>
          <t xml:space="preserve">Autumn tournament</t>
        </is>
      </c>
      <c r="C73" s="8" t="inlineStr">
        <is>
          <t xml:space="preserve">D</t>
        </is>
      </c>
      <c r="D73" s="8">
        <v>2011</v>
      </c>
      <c r="E73" s="4">
        <v>2</v>
      </c>
      <c r="F73" s="2" t="inlineStr">
        <is>
          <t xml:space="preserve">Easy</t>
        </is>
      </c>
      <c r="G73" s="2" t="inlineStr">
        <is>
          <t xml:space="preserve">Counting / Frequency arrays</t>
        </is>
      </c>
      <c r="H73" s="2" t="inlineStr">
        <is>
          <t xml:space="preserve">Implementation / Simulation</t>
        </is>
      </c>
      <c r="I73" s="2" t="inlineStr">
        <is>
          <t xml:space="preserve">Counting array, Chars, I/O parsing</t>
        </is>
      </c>
      <c r="J73" s="2" t="inlineStr">
        <is>
          <t xml:space="preserve">Count letters until '@', then draw the vertical bar chart row by row</t>
        </is>
      </c>
      <c r="K73" s="2" t="inlineStr">
        <is>
          <t xml:space="preserve">Броене с масив (counting); Basic / Рисуване на фигури</t>
        </is>
      </c>
      <c r="L73" s="9" t="str">
        <f>HYPERLINK("https://arena.olimpiici.com/#/catalog/38/problem/100072","open problem")</f>
        <v>open problem</v>
      </c>
    </row>
    <row r="74">
      <c r="A74" s="2" t="inlineStr">
        <is>
          <t xml:space="preserve">number</t>
        </is>
      </c>
      <c r="B74" s="2" t="inlineStr">
        <is>
          <t xml:space="preserve">Autumn tournament</t>
        </is>
      </c>
      <c r="C74" s="8" t="inlineStr">
        <is>
          <t xml:space="preserve">D</t>
        </is>
      </c>
      <c r="D74" s="8">
        <v>2012</v>
      </c>
      <c r="E74" s="7">
        <v>5</v>
      </c>
      <c r="F74" s="2" t="inlineStr">
        <is>
          <t xml:space="preserve">Very hard</t>
        </is>
      </c>
      <c r="G74" s="2" t="inlineStr">
        <is>
          <t xml:space="preserve">String processing</t>
        </is>
      </c>
      <c r="H74" s="2" t="inlineStr">
        <is>
          <t xml:space="preserve">Big numbers</t>
        </is>
      </c>
      <c r="I74" s="2" t="inlineStr">
        <is>
          <t xml:space="preserve">Strings, Prefix sums, Arrays</t>
        </is>
      </c>
      <c r="J74" s="2" t="inlineStr">
        <is>
          <t xml:space="preserve">Split 200k digits into i and n with i&lt;=n; needs fast big-number comparison (Z/hash)</t>
        </is>
      </c>
      <c r="K74" s="2" t="inlineStr">
        <is>
          <t xml:space="preserve">Дълги числа (Big numbers)</t>
        </is>
      </c>
      <c r="L74" s="9" t="str">
        <f>HYPERLINK("https://arena.olimpiici.com/#/catalog/44/problem/100085","open problem")</f>
        <v>open problem</v>
      </c>
    </row>
    <row r="75">
      <c r="A75" s="2" t="inlineStr">
        <is>
          <t xml:space="preserve">postman</t>
        </is>
      </c>
      <c r="B75" s="2" t="inlineStr">
        <is>
          <t xml:space="preserve">Autumn tournament</t>
        </is>
      </c>
      <c r="C75" s="8" t="inlineStr">
        <is>
          <t xml:space="preserve">D</t>
        </is>
      </c>
      <c r="D75" s="8">
        <v>2012</v>
      </c>
      <c r="E75" s="5">
        <v>3</v>
      </c>
      <c r="F75" s="2" t="inlineStr">
        <is>
          <t xml:space="preserve">Medium</t>
        </is>
      </c>
      <c r="G75" s="2" t="inlineStr">
        <is>
          <t xml:space="preserve">Two pointers / Sliding window</t>
        </is>
      </c>
      <c r="H75" s="2" t="inlineStr">
        <is>
          <t xml:space="preserve">Greedy</t>
        </is>
      </c>
      <c r="I75" s="2" t="inlineStr">
        <is>
          <t xml:space="preserve">Arrays, Two pointers, Prefix sums</t>
        </is>
      </c>
      <c r="J75" s="2" t="inlineStr">
        <is>
          <t xml:space="preserve">Nearest unvisited house is always one of the two ends of the visited block</t>
        </is>
      </c>
      <c r="K75" s="2" t="inlineStr">
        <is>
          <t xml:space="preserve">Метод на показалките / 2-pointers</t>
        </is>
      </c>
      <c r="L75" s="9" t="str">
        <f>HYPERLINK("https://arena.olimpiici.com/#/catalog/44/problem/100086","open problem")</f>
        <v>open problem</v>
      </c>
    </row>
    <row r="76">
      <c r="A76" s="2" t="inlineStr">
        <is>
          <t xml:space="preserve">board</t>
        </is>
      </c>
      <c r="B76" s="2" t="inlineStr">
        <is>
          <t xml:space="preserve">Autumn tournament</t>
        </is>
      </c>
      <c r="C76" s="8" t="inlineStr">
        <is>
          <t xml:space="preserve">D</t>
        </is>
      </c>
      <c r="D76" s="8">
        <v>2012</v>
      </c>
      <c r="E76" s="4">
        <v>2</v>
      </c>
      <c r="F76" s="2" t="inlineStr">
        <is>
          <t xml:space="preserve">Easy</t>
        </is>
      </c>
      <c r="G76" s="2" t="inlineStr">
        <is>
          <t xml:space="preserve">Implementation / Simulation</t>
        </is>
      </c>
      <c r="H76" s="2" t="inlineStr">
        <is>
          <t xml:space="preserve">Grid/Matrix</t>
        </is>
      </c>
      <c r="I76" s="2" t="inlineStr">
        <is>
          <t xml:space="preserve">2D arrays, Grid/Matrix, Loops</t>
        </is>
      </c>
      <c r="J76" s="2" t="inlineStr">
        <is>
          <t xml:space="preserve">Follow 1,2,3,... on a 4x5 board and check each step is a knight move</t>
        </is>
      </c>
      <c r="K76" s="2" t="inlineStr">
        <is>
          <t xml:space="preserve">Двумерни и многомерни масиви</t>
        </is>
      </c>
      <c r="L76" s="9" t="str">
        <f>HYPERLINK("https://arena.olimpiici.com/#/catalog/44/problem/100087","open problem")</f>
        <v>open problem</v>
      </c>
    </row>
    <row r="77">
      <c r="A77" s="2" t="inlineStr">
        <is>
          <t xml:space="preserve">zero</t>
        </is>
      </c>
      <c r="B77" s="2" t="inlineStr">
        <is>
          <t xml:space="preserve">Autumn tournament</t>
        </is>
      </c>
      <c r="C77" s="8" t="inlineStr">
        <is>
          <t xml:space="preserve">D</t>
        </is>
      </c>
      <c r="D77" s="8">
        <v>2013</v>
      </c>
      <c r="E77" s="3">
        <v>1</v>
      </c>
      <c r="F77" s="2" t="inlineStr">
        <is>
          <t xml:space="preserve">Very easy</t>
        </is>
      </c>
      <c r="G77" s="2" t="inlineStr">
        <is>
          <t xml:space="preserve">Counting / Frequency arrays</t>
        </is>
      </c>
      <c r="H77" s="2" t="inlineStr">
        <is>
          <t xml:space="preserve">String processing</t>
        </is>
      </c>
      <c r="I77" s="2" t="inlineStr">
        <is>
          <t xml:space="preserve">Strings, Counting array, Loops</t>
        </is>
      </c>
      <c r="J77" s="2" t="inlineStr">
        <is>
          <t xml:space="preserve">Measure every run of zeros, count how many distinct lengths occur</t>
        </is>
      </c>
      <c r="K77" s="2" t="inlineStr">
        <is>
          <t xml:space="preserve">Разделяне на последователности; Броене с масив (counting)</t>
        </is>
      </c>
      <c r="L77" s="9" t="str">
        <f>HYPERLINK("https://arena.olimpiici.com/#/catalog/50/problem/100100","open problem")</f>
        <v>open problem</v>
      </c>
    </row>
    <row r="78">
      <c r="A78" s="2" t="inlineStr">
        <is>
          <t xml:space="preserve">salary</t>
        </is>
      </c>
      <c r="B78" s="2" t="inlineStr">
        <is>
          <t xml:space="preserve">Autumn tournament</t>
        </is>
      </c>
      <c r="C78" s="8" t="inlineStr">
        <is>
          <t xml:space="preserve">D</t>
        </is>
      </c>
      <c r="D78" s="8">
        <v>2013</v>
      </c>
      <c r="E78" s="4">
        <v>2</v>
      </c>
      <c r="F78" s="2" t="inlineStr">
        <is>
          <t xml:space="preserve">Easy</t>
        </is>
      </c>
      <c r="G78" s="2" t="inlineStr">
        <is>
          <t xml:space="preserve">Implementation / Simulation</t>
        </is>
      </c>
      <c r="H78" s="2" t="inlineStr">
        <is>
          <t xml:space="preserve">Math / Formula</t>
        </is>
      </c>
      <c r="I78" s="2" t="inlineStr">
        <is>
          <t xml:space="preserve">Long long, Strings, Loops</t>
        </is>
      </c>
      <c r="J78" s="2" t="inlineStr">
        <is>
          <t xml:space="preserve">Concatenate cubes 1,8,27,... until the k-th digit appears</t>
        </is>
      </c>
      <c r="K78" s="2" t="inlineStr">
        <is>
          <t xml:space="preserve">Математика / Отделяне на цифри от число</t>
        </is>
      </c>
      <c r="L78" s="9" t="str">
        <f>HYPERLINK("https://arena.olimpiici.com/#/catalog/50/problem/100101","open problem")</f>
        <v>open problem</v>
      </c>
    </row>
    <row r="79">
      <c r="A79" s="2" t="inlineStr">
        <is>
          <t xml:space="preserve">sport</t>
        </is>
      </c>
      <c r="B79" s="2" t="inlineStr">
        <is>
          <t xml:space="preserve">Autumn tournament</t>
        </is>
      </c>
      <c r="C79" s="8" t="inlineStr">
        <is>
          <t xml:space="preserve">D</t>
        </is>
      </c>
      <c r="D79" s="8">
        <v>2013</v>
      </c>
      <c r="E79" s="4">
        <v>2</v>
      </c>
      <c r="F79" s="2" t="inlineStr">
        <is>
          <t xml:space="preserve">Easy</t>
        </is>
      </c>
      <c r="G79" s="2" t="inlineStr">
        <is>
          <t xml:space="preserve">Recursion / Backtracking</t>
        </is>
      </c>
      <c r="H79" s="2" t="inlineStr">
        <is>
          <t xml:space="preserve">Combinatorics</t>
        </is>
      </c>
      <c r="I79" s="2" t="inlineStr">
        <is>
          <t xml:space="preserve">Recursion, Strings, Arrays</t>
        </is>
      </c>
      <c r="J79" s="2" t="inlineStr">
        <is>
          <t xml:space="preserve">Generate all permutations of up to 7 letters in lexicographic order</t>
        </is>
      </c>
      <c r="K79" s="2" t="inlineStr">
        <is>
          <t xml:space="preserve">Математика / Бройни системи; Пермутации (permutations)</t>
        </is>
      </c>
      <c r="L79" s="9" t="str">
        <f>HYPERLINK("https://arena.olimpiici.com/#/catalog/50/problem/100102","open problem")</f>
        <v>open problem</v>
      </c>
    </row>
    <row r="80">
      <c r="A80" s="2" t="inlineStr">
        <is>
          <t xml:space="preserve">equality</t>
        </is>
      </c>
      <c r="B80" s="2" t="inlineStr">
        <is>
          <t xml:space="preserve">Autumn tournament</t>
        </is>
      </c>
      <c r="C80" s="8" t="inlineStr">
        <is>
          <t xml:space="preserve">D</t>
        </is>
      </c>
      <c r="D80" s="8">
        <v>2014</v>
      </c>
      <c r="E80" s="5">
        <v>3</v>
      </c>
      <c r="F80" s="2" t="inlineStr">
        <is>
          <t xml:space="preserve">Medium</t>
        </is>
      </c>
      <c r="G80" s="2" t="inlineStr">
        <is>
          <t xml:space="preserve">Number theory</t>
        </is>
      </c>
      <c r="H80" s="2" t="inlineStr">
        <is>
          <t xml:space="preserve">String processing</t>
        </is>
      </c>
      <c r="I80" s="2" t="inlineStr">
        <is>
          <t xml:space="preserve">Strings, Long long, Math</t>
        </is>
      </c>
      <c r="J80" s="2" t="inlineStr">
        <is>
          <t xml:space="preserve">Try bases 2..36, convert X, Y, Z and test the equality</t>
        </is>
      </c>
      <c r="K80" s="2" t="inlineStr">
        <is>
          <t xml:space="preserve">Математика / Бройни системи</t>
        </is>
      </c>
      <c r="L80" s="9" t="str">
        <f>HYPERLINK("https://arena.olimpiici.com/#/catalog/56/problem/100115","open problem")</f>
        <v>open problem</v>
      </c>
    </row>
    <row r="81">
      <c r="A81" s="2" t="inlineStr">
        <is>
          <t xml:space="preserve">substring</t>
        </is>
      </c>
      <c r="B81" s="2" t="inlineStr">
        <is>
          <t xml:space="preserve">Autumn tournament</t>
        </is>
      </c>
      <c r="C81" s="8" t="inlineStr">
        <is>
          <t xml:space="preserve">D</t>
        </is>
      </c>
      <c r="D81" s="8">
        <v>2014</v>
      </c>
      <c r="E81" s="4">
        <v>2</v>
      </c>
      <c r="F81" s="2" t="inlineStr">
        <is>
          <t xml:space="preserve">Easy</t>
        </is>
      </c>
      <c r="G81" s="2" t="inlineStr">
        <is>
          <t xml:space="preserve">Counting / Frequency arrays</t>
        </is>
      </c>
      <c r="H81" s="2" t="inlineStr">
        <is>
          <t xml:space="preserve">String processing</t>
        </is>
      </c>
      <c r="I81" s="2" t="inlineStr">
        <is>
          <t xml:space="preserve">Counting array, Strings, Chars</t>
        </is>
      </c>
      <c r="J81" s="2" t="inlineStr">
        <is>
          <t xml:space="preserve">Common letters with min multiplicity, printed in alphabetical order</t>
        </is>
      </c>
      <c r="K81" s="2" t="inlineStr">
        <is>
          <t xml:space="preserve">Броене с масив (counting)</t>
        </is>
      </c>
      <c r="L81" s="9" t="str">
        <f>HYPERLINK("https://arena.olimpiici.com/#/catalog/56/problem/100116","open problem")</f>
        <v>open problem</v>
      </c>
    </row>
    <row r="82">
      <c r="A82" s="2" t="inlineStr">
        <is>
          <t xml:space="preserve">seq</t>
        </is>
      </c>
      <c r="B82" s="2" t="inlineStr">
        <is>
          <t xml:space="preserve">Autumn tournament</t>
        </is>
      </c>
      <c r="C82" s="8" t="inlineStr">
        <is>
          <t xml:space="preserve">D</t>
        </is>
      </c>
      <c r="D82" s="8">
        <v>2014</v>
      </c>
      <c r="E82" s="5">
        <v>3</v>
      </c>
      <c r="F82" s="2" t="inlineStr">
        <is>
          <t xml:space="preserve">Medium</t>
        </is>
      </c>
      <c r="G82" s="2" t="inlineStr">
        <is>
          <t xml:space="preserve">Big numbers</t>
        </is>
      </c>
      <c r="H82" s="2" t="inlineStr">
        <is>
          <t xml:space="preserve">Implementation / Simulation</t>
        </is>
      </c>
      <c r="I82" s="2" t="inlineStr">
        <is>
          <t xml:space="preserve">Big integers, Arrays, Strings</t>
        </is>
      </c>
      <c r="J82" s="2" t="inlineStr">
        <is>
          <t xml:space="preserve">Multiply by x with big-number arithmetic, count digits until position n</t>
        </is>
      </c>
      <c r="K82" s="2" t="inlineStr">
        <is>
          <t xml:space="preserve">Дълги числа (Big numbers)</t>
        </is>
      </c>
      <c r="L82" s="9" t="str">
        <f>HYPERLINK("https://arena.olimpiici.com/#/catalog/56/problem/100117","open problem")</f>
        <v>open problem</v>
      </c>
    </row>
    <row r="83">
      <c r="A83" s="2" t="inlineStr">
        <is>
          <t xml:space="preserve">shop</t>
        </is>
      </c>
      <c r="B83" s="2" t="inlineStr">
        <is>
          <t xml:space="preserve">Autumn tournament</t>
        </is>
      </c>
      <c r="C83" s="8" t="inlineStr">
        <is>
          <t xml:space="preserve">D</t>
        </is>
      </c>
      <c r="D83" s="8">
        <v>2015</v>
      </c>
      <c r="E83" s="5">
        <v>3</v>
      </c>
      <c r="F83" s="2" t="inlineStr">
        <is>
          <t xml:space="preserve">Medium</t>
        </is>
      </c>
      <c r="G83" s="2" t="inlineStr">
        <is>
          <t xml:space="preserve">Greedy</t>
        </is>
      </c>
      <c r="H83" s="2" t="inlineStr">
        <is>
          <t xml:space="preserve">Sorting</t>
        </is>
      </c>
      <c r="I83" s="2" t="inlineStr">
        <is>
          <t xml:space="preserve">Sorting, Arrays, Long long</t>
        </is>
      </c>
      <c r="J83" s="2" t="inlineStr">
        <is>
          <t xml:space="preserve">Sort descending and group in blocks of k so the cheapest of each block is free</t>
        </is>
      </c>
      <c r="K83" s="2" t="inlineStr">
        <is>
          <t xml:space="preserve">Сортиране (sorting)</t>
        </is>
      </c>
      <c r="L83" s="9" t="str">
        <f>HYPERLINK("https://arena.olimpiici.com/#/catalog/62/problem/100130","open problem")</f>
        <v>open problem</v>
      </c>
    </row>
    <row r="84">
      <c r="A84" s="2" t="inlineStr">
        <is>
          <t xml:space="preserve">rect</t>
        </is>
      </c>
      <c r="B84" s="2" t="inlineStr">
        <is>
          <t xml:space="preserve">Autumn tournament</t>
        </is>
      </c>
      <c r="C84" s="8" t="inlineStr">
        <is>
          <t xml:space="preserve">D</t>
        </is>
      </c>
      <c r="D84" s="8">
        <v>2015</v>
      </c>
      <c r="E84" s="6">
        <v>4</v>
      </c>
      <c r="F84" s="2" t="inlineStr">
        <is>
          <t xml:space="preserve">Hard</t>
        </is>
      </c>
      <c r="G84" s="2" t="inlineStr">
        <is>
          <t xml:space="preserve">Constructive</t>
        </is>
      </c>
      <c r="H84" s="2" t="inlineStr">
        <is>
          <t xml:space="preserve">Implementation / Simulation</t>
        </is>
      </c>
      <c r="I84" s="2" t="inlineStr">
        <is>
          <t xml:space="preserve">2D arrays, Loops, Math</t>
        </is>
      </c>
      <c r="J84" s="2" t="inlineStr">
        <is>
          <t xml:space="preserve">Case analysis on how three rectangles tile one, then draw the layout</t>
        </is>
      </c>
      <c r="K84" s="2" t="inlineStr">
        <is>
          <t xml:space="preserve"/>
        </is>
      </c>
      <c r="L84" s="9" t="str">
        <f>HYPERLINK("https://arena.olimpiici.com/#/catalog/62/problem/100131","open problem")</f>
        <v>open problem</v>
      </c>
    </row>
    <row r="85">
      <c r="A85" s="2" t="inlineStr">
        <is>
          <t xml:space="preserve">balls</t>
        </is>
      </c>
      <c r="B85" s="2" t="inlineStr">
        <is>
          <t xml:space="preserve">Autumn tournament</t>
        </is>
      </c>
      <c r="C85" s="8" t="inlineStr">
        <is>
          <t xml:space="preserve">D</t>
        </is>
      </c>
      <c r="D85" s="8">
        <v>2015</v>
      </c>
      <c r="E85" s="5">
        <v>3</v>
      </c>
      <c r="F85" s="2" t="inlineStr">
        <is>
          <t xml:space="preserve">Medium</t>
        </is>
      </c>
      <c r="G85" s="2" t="inlineStr">
        <is>
          <t xml:space="preserve">Math / Formula</t>
        </is>
      </c>
      <c r="H85" s="2" t="inlineStr">
        <is>
          <t xml:space="preserve">Ad hoc / Observation</t>
        </is>
      </c>
      <c r="I85" s="2" t="inlineStr">
        <is>
          <t xml:space="preserve">Arrays, Long long, Math</t>
        </is>
      </c>
      <c r="J85" s="2" t="inlineStr">
        <is>
          <t xml:space="preserve">b_i becomes S-b_i each step; differences only change sign, so K parity decides</t>
        </is>
      </c>
      <c r="K85" s="2" t="inlineStr">
        <is>
          <t xml:space="preserve">Математика</t>
        </is>
      </c>
      <c r="L85" s="9" t="str">
        <f>HYPERLINK("https://arena.olimpiici.com/#/catalog/62/problem/100132","open problem")</f>
        <v>open problem</v>
      </c>
    </row>
    <row r="86">
      <c r="A86" s="2" t="inlineStr">
        <is>
          <t xml:space="preserve">sherlok</t>
        </is>
      </c>
      <c r="B86" s="2" t="inlineStr">
        <is>
          <t xml:space="preserve">Autumn tournament</t>
        </is>
      </c>
      <c r="C86" s="8" t="inlineStr">
        <is>
          <t xml:space="preserve">D</t>
        </is>
      </c>
      <c r="D86" s="8">
        <v>2016</v>
      </c>
      <c r="E86" s="5">
        <v>3</v>
      </c>
      <c r="F86" s="2" t="inlineStr">
        <is>
          <t xml:space="preserve">Medium</t>
        </is>
      </c>
      <c r="G86" s="2" t="inlineStr">
        <is>
          <t xml:space="preserve">Brute force</t>
        </is>
      </c>
      <c r="H86" s="2" t="inlineStr">
        <is>
          <t xml:space="preserve">Number theory</t>
        </is>
      </c>
      <c r="I86" s="2" t="inlineStr">
        <is>
          <t xml:space="preserve">Loops, Math, Long long</t>
        </is>
      </c>
      <c r="J86" s="2" t="inlineStr">
        <is>
          <t xml:space="preserve">Enumerate the third volume, build the 5-digit number and test divisibility</t>
        </is>
      </c>
      <c r="K86" s="2" t="inlineStr">
        <is>
          <t xml:space="preserve"/>
        </is>
      </c>
      <c r="L86" s="9" t="str">
        <f>HYPERLINK("https://arena.olimpiici.com/#/catalog/68/problem/100145","open problem")</f>
        <v>open problem</v>
      </c>
    </row>
    <row r="87">
      <c r="A87" s="2" t="inlineStr">
        <is>
          <t xml:space="preserve">numdiv</t>
        </is>
      </c>
      <c r="B87" s="2" t="inlineStr">
        <is>
          <t xml:space="preserve">Autumn tournament</t>
        </is>
      </c>
      <c r="C87" s="8" t="inlineStr">
        <is>
          <t xml:space="preserve">D</t>
        </is>
      </c>
      <c r="D87" s="8">
        <v>2016</v>
      </c>
      <c r="E87" s="5">
        <v>3</v>
      </c>
      <c r="F87" s="2" t="inlineStr">
        <is>
          <t xml:space="preserve">Medium</t>
        </is>
      </c>
      <c r="G87" s="2" t="inlineStr">
        <is>
          <t xml:space="preserve">Number theory</t>
        </is>
      </c>
      <c r="H87" s="2" t="inlineStr">
        <is>
          <t xml:space="preserve">Counting / Frequency arrays</t>
        </is>
      </c>
      <c r="I87" s="2" t="inlineStr">
        <is>
          <t xml:space="preserve">Arrays, Counting array, Loops</t>
        </is>
      </c>
      <c r="J87" s="2" t="inlineStr">
        <is>
          <t xml:space="preserve">Sieve-style divisor counting up to 3,000,000, take the first maximum</t>
        </is>
      </c>
      <c r="K87" s="2" t="inlineStr">
        <is>
          <t xml:space="preserve">Математика / Делимост; Математика / Решето на Ератостен</t>
        </is>
      </c>
      <c r="L87" s="9" t="str">
        <f>HYPERLINK("https://arena.olimpiici.com/#/catalog/68/problem/100146","open problem")</f>
        <v>open problem</v>
      </c>
    </row>
    <row r="88">
      <c r="A88" s="2" t="inlineStr">
        <is>
          <t xml:space="preserve">palin</t>
        </is>
      </c>
      <c r="B88" s="2" t="inlineStr">
        <is>
          <t xml:space="preserve">Autumn tournament</t>
        </is>
      </c>
      <c r="C88" s="8" t="inlineStr">
        <is>
          <t xml:space="preserve">D</t>
        </is>
      </c>
      <c r="D88" s="8">
        <v>2016</v>
      </c>
      <c r="E88" s="6">
        <v>4</v>
      </c>
      <c r="F88" s="2" t="inlineStr">
        <is>
          <t xml:space="preserve">Hard</t>
        </is>
      </c>
      <c r="G88" s="2" t="inlineStr">
        <is>
          <t xml:space="preserve">String processing</t>
        </is>
      </c>
      <c r="H88" s="2" t="inlineStr">
        <is>
          <t xml:space="preserve">Hashing / Maps</t>
        </is>
      </c>
      <c r="I88" s="2" t="inlineStr">
        <is>
          <t xml:space="preserve">Strings, Arrays, Prefix sums</t>
        </is>
      </c>
      <c r="J88" s="2" t="inlineStr">
        <is>
          <t xml:space="preserve">Longest palindromic suffix via KMP on s+#+reverse(s) or hashing</t>
        </is>
      </c>
      <c r="K88" s="2" t="inlineStr">
        <is>
          <t xml:space="preserve">Палиндроми</t>
        </is>
      </c>
      <c r="L88" s="9" t="str">
        <f>HYPERLINK("https://arena.olimpiici.com/#/catalog/68/problem/100147","open problem")</f>
        <v>open problem</v>
      </c>
    </row>
    <row r="89">
      <c r="A89" s="2" t="inlineStr">
        <is>
          <t xml:space="preserve">hidepencil</t>
        </is>
      </c>
      <c r="B89" s="2" t="inlineStr">
        <is>
          <t xml:space="preserve">Autumn tournament</t>
        </is>
      </c>
      <c r="C89" s="8" t="inlineStr">
        <is>
          <t xml:space="preserve">D</t>
        </is>
      </c>
      <c r="D89" s="8">
        <v>2017</v>
      </c>
      <c r="E89" s="5">
        <v>3</v>
      </c>
      <c r="F89" s="2" t="inlineStr">
        <is>
          <t xml:space="preserve">Medium</t>
        </is>
      </c>
      <c r="G89" s="2" t="inlineStr">
        <is>
          <t xml:space="preserve">Grid/Matrix</t>
        </is>
      </c>
      <c r="H89" s="2" t="inlineStr">
        <is>
          <t xml:space="preserve">Prefix sums</t>
        </is>
      </c>
      <c r="I89" s="2" t="inlineStr">
        <is>
          <t xml:space="preserve">2D arrays, Grid/Matrix, Loops</t>
        </is>
      </c>
      <c r="J89" s="2" t="inlineStr">
        <is>
          <t xml:space="preserve">A case is hidden when the tallest neighbour on all four sides reaches H</t>
        </is>
      </c>
      <c r="K89" s="2" t="inlineStr">
        <is>
          <t xml:space="preserve">Двумерни и многомерни масиви</t>
        </is>
      </c>
      <c r="L89" s="9" t="str">
        <f>HYPERLINK("https://arena.olimpiici.com/#/catalog/74/problem/100160","open problem")</f>
        <v>open problem</v>
      </c>
    </row>
    <row r="90">
      <c r="A90" s="2" t="inlineStr">
        <is>
          <t xml:space="preserve">concert</t>
        </is>
      </c>
      <c r="B90" s="2" t="inlineStr">
        <is>
          <t xml:space="preserve">Autumn tournament</t>
        </is>
      </c>
      <c r="C90" s="8" t="inlineStr">
        <is>
          <t xml:space="preserve">D</t>
        </is>
      </c>
      <c r="D90" s="8">
        <v>2017</v>
      </c>
      <c r="E90" s="5">
        <v>3</v>
      </c>
      <c r="F90" s="2" t="inlineStr">
        <is>
          <t xml:space="preserve">Medium</t>
        </is>
      </c>
      <c r="G90" s="2" t="inlineStr">
        <is>
          <t xml:space="preserve">Binary search</t>
        </is>
      </c>
      <c r="H90" s="2" t="inlineStr">
        <is>
          <t xml:space="preserve">Greedy</t>
        </is>
      </c>
      <c r="I90" s="2" t="inlineStr">
        <is>
          <t xml:space="preserve">Arrays, Long long, Loops</t>
        </is>
      </c>
      <c r="J90" s="2" t="inlineStr">
        <is>
          <t xml:space="preserve">Binary search the minutes; each drive burns time/T_i discs</t>
        </is>
      </c>
      <c r="K90" s="2" t="inlineStr">
        <is>
          <t xml:space="preserve">Двоично търсене по отговора (binary search); STL / Приоритетна опашка (priority_queue)</t>
        </is>
      </c>
      <c r="L90" s="9" t="str">
        <f>HYPERLINK("https://arena.olimpiici.com/#/catalog/74/problem/100161","open problem")</f>
        <v>open problem</v>
      </c>
    </row>
    <row r="91">
      <c r="A91" s="2" t="inlineStr">
        <is>
          <t xml:space="preserve">palin</t>
        </is>
      </c>
      <c r="B91" s="2" t="inlineStr">
        <is>
          <t xml:space="preserve">Autumn tournament</t>
        </is>
      </c>
      <c r="C91" s="8" t="inlineStr">
        <is>
          <t xml:space="preserve">D</t>
        </is>
      </c>
      <c r="D91" s="8">
        <v>2017</v>
      </c>
      <c r="E91" s="4">
        <v>2</v>
      </c>
      <c r="F91" s="2" t="inlineStr">
        <is>
          <t xml:space="preserve">Easy</t>
        </is>
      </c>
      <c r="G91" s="2" t="inlineStr">
        <is>
          <t xml:space="preserve">Counting / Frequency arrays</t>
        </is>
      </c>
      <c r="H91" s="2" t="inlineStr">
        <is>
          <t xml:space="preserve">String processing</t>
        </is>
      </c>
      <c r="I91" s="2" t="inlineStr">
        <is>
          <t xml:space="preserve">Counting array, Strings, Chars</t>
        </is>
      </c>
      <c r="J91" s="2" t="inlineStr">
        <is>
          <t xml:space="preserve">The number of letters with odd frequency (at least one) is the answer</t>
        </is>
      </c>
      <c r="K91" s="2" t="inlineStr">
        <is>
          <t xml:space="preserve">Броене с масив (counting); Палиндроми</t>
        </is>
      </c>
      <c r="L91" s="9" t="str">
        <f>HYPERLINK("https://arena.olimpiici.com/#/catalog/74/problem/100162","open problem")</f>
        <v>open problem</v>
      </c>
    </row>
    <row r="92">
      <c r="A92" s="2" t="inlineStr">
        <is>
          <t xml:space="preserve">changenumber</t>
        </is>
      </c>
      <c r="B92" s="2" t="inlineStr">
        <is>
          <t xml:space="preserve">Autumn tournament</t>
        </is>
      </c>
      <c r="C92" s="8" t="inlineStr">
        <is>
          <t xml:space="preserve">D</t>
        </is>
      </c>
      <c r="D92" s="8">
        <v>2018</v>
      </c>
      <c r="E92" s="6">
        <v>4</v>
      </c>
      <c r="F92" s="2" t="inlineStr">
        <is>
          <t xml:space="preserve">Hard</t>
        </is>
      </c>
      <c r="G92" s="2" t="inlineStr">
        <is>
          <t xml:space="preserve">Brute force</t>
        </is>
      </c>
      <c r="H92" s="2" t="inlineStr">
        <is>
          <t xml:space="preserve">Big numbers</t>
        </is>
      </c>
      <c r="I92" s="2" t="inlineStr">
        <is>
          <t xml:space="preserve">Strings, Chars, Math</t>
        </is>
      </c>
      <c r="J92" s="2" t="inlineStr">
        <is>
          <t xml:space="preserve">Try every pair of digit positions and values, keep the largest multiple of 6</t>
        </is>
      </c>
      <c r="K92" s="2" t="inlineStr">
        <is>
          <t xml:space="preserve">Bruteforce</t>
        </is>
      </c>
      <c r="L92" s="9" t="str">
        <f>HYPERLINK("https://arena.olimpiici.com/#/catalog/80/problem/100175","open problem")</f>
        <v>open problem</v>
      </c>
    </row>
    <row r="93">
      <c r="A93" s="2" t="inlineStr">
        <is>
          <t xml:space="preserve">coding</t>
        </is>
      </c>
      <c r="B93" s="2" t="inlineStr">
        <is>
          <t xml:space="preserve">Autumn tournament</t>
        </is>
      </c>
      <c r="C93" s="8" t="inlineStr">
        <is>
          <t xml:space="preserve">D</t>
        </is>
      </c>
      <c r="D93" s="8">
        <v>2018</v>
      </c>
      <c r="E93" s="5">
        <v>3</v>
      </c>
      <c r="F93" s="2" t="inlineStr">
        <is>
          <t xml:space="preserve">Medium</t>
        </is>
      </c>
      <c r="G93" s="2" t="inlineStr">
        <is>
          <t xml:space="preserve">Implementation / Simulation</t>
        </is>
      </c>
      <c r="H93" s="2" t="inlineStr">
        <is>
          <t xml:space="preserve">String processing</t>
        </is>
      </c>
      <c r="I93" s="2" t="inlineStr">
        <is>
          <t xml:space="preserve">2D arrays, Strings, Chars</t>
        </is>
      </c>
      <c r="J93" s="2" t="inlineStr">
        <is>
          <t xml:space="preserve">Playfair cipher: build the 5x5 key square, encode digram by digram</t>
        </is>
      </c>
      <c r="K93" s="2" t="inlineStr">
        <is>
          <t xml:space="preserve"/>
        </is>
      </c>
      <c r="L93" s="9" t="str">
        <f>HYPERLINK("https://arena.olimpiici.com/#/catalog/80/problem/100176","open problem")</f>
        <v>open problem</v>
      </c>
    </row>
    <row r="94">
      <c r="A94" s="2" t="inlineStr">
        <is>
          <t xml:space="preserve">equation</t>
        </is>
      </c>
      <c r="B94" s="2" t="inlineStr">
        <is>
          <t xml:space="preserve">Autumn tournament</t>
        </is>
      </c>
      <c r="C94" s="8" t="inlineStr">
        <is>
          <t xml:space="preserve">D</t>
        </is>
      </c>
      <c r="D94" s="8">
        <v>2018</v>
      </c>
      <c r="E94" s="5">
        <v>3</v>
      </c>
      <c r="F94" s="2" t="inlineStr">
        <is>
          <t xml:space="preserve">Medium</t>
        </is>
      </c>
      <c r="G94" s="2" t="inlineStr">
        <is>
          <t xml:space="preserve">Big numbers</t>
        </is>
      </c>
      <c r="H94" s="2" t="inlineStr">
        <is>
          <t xml:space="preserve">Math / Formula</t>
        </is>
      </c>
      <c r="I94" s="2" t="inlineStr">
        <is>
          <t xml:space="preserve">Big integers, Strings, Long long</t>
        </is>
      </c>
      <c r="J94" s="2" t="inlineStr">
        <is>
          <t xml:space="preserve">Big-number subtraction b-c then division by a up to 10^17</t>
        </is>
      </c>
      <c r="K94" s="2" t="inlineStr">
        <is>
          <t xml:space="preserve">Дълги числа (Big numbers)</t>
        </is>
      </c>
      <c r="L94" s="9" t="str">
        <f>HYPERLINK("https://arena.olimpiici.com/#/catalog/80/problem/100177","open problem")</f>
        <v>open problem</v>
      </c>
    </row>
    <row r="95">
      <c r="A95" s="2" t="inlineStr">
        <is>
          <t xml:space="preserve">guess</t>
        </is>
      </c>
      <c r="B95" s="2" t="inlineStr">
        <is>
          <t xml:space="preserve">Autumn tournament</t>
        </is>
      </c>
      <c r="C95" s="8" t="inlineStr">
        <is>
          <t xml:space="preserve">D</t>
        </is>
      </c>
      <c r="D95" s="8">
        <v>2019</v>
      </c>
      <c r="E95" s="5">
        <v>3</v>
      </c>
      <c r="F95" s="2" t="inlineStr">
        <is>
          <t xml:space="preserve">Medium</t>
        </is>
      </c>
      <c r="G95" s="2" t="inlineStr">
        <is>
          <t xml:space="preserve">Brute force</t>
        </is>
      </c>
      <c r="H95" s="2" t="inlineStr">
        <is>
          <t xml:space="preserve">String processing</t>
        </is>
      </c>
      <c r="I95" s="2" t="inlineStr">
        <is>
          <t xml:space="preserve">Strings, I/O parsing, Long long</t>
        </is>
      </c>
      <c r="J95" s="2" t="inlineStr">
        <is>
          <t xml:space="preserve">Substitute each digit 0-9 for '?', parse the expression and test it</t>
        </is>
      </c>
      <c r="K95" s="2" t="inlineStr">
        <is>
          <t xml:space="preserve">Basic / Низове (string)</t>
        </is>
      </c>
      <c r="L95" s="9" t="str">
        <f>HYPERLINK("https://arena.olimpiici.com/#/catalog/467/problem/101259","open problem")</f>
        <v>open problem</v>
      </c>
    </row>
    <row r="96">
      <c r="A96" s="2" t="inlineStr">
        <is>
          <t xml:space="preserve">max</t>
        </is>
      </c>
      <c r="B96" s="2" t="inlineStr">
        <is>
          <t xml:space="preserve">Autumn tournament</t>
        </is>
      </c>
      <c r="C96" s="8" t="inlineStr">
        <is>
          <t xml:space="preserve">D</t>
        </is>
      </c>
      <c r="D96" s="8">
        <v>2019</v>
      </c>
      <c r="E96" s="7">
        <v>5</v>
      </c>
      <c r="F96" s="2" t="inlineStr">
        <is>
          <t xml:space="preserve">Very hard</t>
        </is>
      </c>
      <c r="G96" s="2" t="inlineStr">
        <is>
          <t xml:space="preserve">Big numbers</t>
        </is>
      </c>
      <c r="H96" s="2" t="inlineStr">
        <is>
          <t xml:space="preserve">Sorting</t>
        </is>
      </c>
      <c r="I96" s="2" t="inlineStr">
        <is>
          <t xml:space="preserve">Big integers, Sorting, Strings</t>
        </is>
      </c>
      <c r="J96" s="2" t="inlineStr">
        <is>
          <t xml:space="preserve">Maximum a_i mod a_j over 50-digit numbers; needs sorting plus big-number division</t>
        </is>
      </c>
      <c r="K96" s="2" t="inlineStr">
        <is>
          <t xml:space="preserve">Дълги числа (Big numbers)</t>
        </is>
      </c>
      <c r="L96" s="9" t="str">
        <f>HYPERLINK("https://arena.olimpiici.com/#/catalog/467/problem/101260","open problem")</f>
        <v>open problem</v>
      </c>
    </row>
    <row r="97">
      <c r="A97" s="2" t="inlineStr">
        <is>
          <t xml:space="preserve">bus</t>
        </is>
      </c>
      <c r="B97" s="2" t="inlineStr">
        <is>
          <t xml:space="preserve">Autumn tournament</t>
        </is>
      </c>
      <c r="C97" s="8" t="inlineStr">
        <is>
          <t xml:space="preserve">D</t>
        </is>
      </c>
      <c r="D97" s="8">
        <v>2019</v>
      </c>
      <c r="E97" s="5">
        <v>3</v>
      </c>
      <c r="F97" s="2" t="inlineStr">
        <is>
          <t xml:space="preserve">Medium</t>
        </is>
      </c>
      <c r="G97" s="2" t="inlineStr">
        <is>
          <t xml:space="preserve">Number theory</t>
        </is>
      </c>
      <c r="H97" s="2" t="inlineStr">
        <is>
          <t xml:space="preserve">Math / Formula</t>
        </is>
      </c>
      <c r="I97" s="2" t="inlineStr">
        <is>
          <t xml:space="preserve">Math, Long long</t>
        </is>
      </c>
      <c r="J97" s="2" t="inlineStr">
        <is>
          <t xml:space="preserve">Suitable moments are multiples of lcm(a,b,c); count them inside day d</t>
        </is>
      </c>
      <c r="K97" s="2" t="inlineStr">
        <is>
          <t xml:space="preserve">Математика / НОД - Алгоритъм на Евклид</t>
        </is>
      </c>
      <c r="L97" s="9" t="str">
        <f>HYPERLINK("https://arena.olimpiici.com/#/catalog/467/problem/101261","open problem")</f>
        <v>open problem</v>
      </c>
    </row>
    <row r="98">
      <c r="A98" s="2" t="inlineStr">
        <is>
          <t xml:space="preserve">kub</t>
        </is>
      </c>
      <c r="B98" s="2" t="inlineStr">
        <is>
          <t xml:space="preserve">Autumn tournament</t>
        </is>
      </c>
      <c r="C98" s="8" t="inlineStr">
        <is>
          <t xml:space="preserve">D</t>
        </is>
      </c>
      <c r="D98" s="8">
        <v>2020</v>
      </c>
      <c r="E98" s="7">
        <v>5</v>
      </c>
      <c r="F98" s="2" t="inlineStr">
        <is>
          <t xml:space="preserve">Very hard</t>
        </is>
      </c>
      <c r="G98" s="2" t="inlineStr">
        <is>
          <t xml:space="preserve">Greedy</t>
        </is>
      </c>
      <c r="H98" s="2" t="inlineStr">
        <is>
          <t xml:space="preserve">Bit manipulation</t>
        </is>
      </c>
      <c r="I98" s="2" t="inlineStr">
        <is>
          <t xml:space="preserve">Bitmask, Counting array, Arrays</t>
        </is>
      </c>
      <c r="J98" s="2" t="inlineStr">
        <is>
          <t xml:space="preserve">Smallest unreachable number; needs Hall-condition matching of digits to cubes</t>
        </is>
      </c>
      <c r="K98" s="2" t="inlineStr">
        <is>
          <t xml:space="preserve"/>
        </is>
      </c>
      <c r="L98" s="9" t="str">
        <f>HYPERLINK("https://arena.olimpiici.com/#/catalog/542/problem/101340","open problem")</f>
        <v>open problem</v>
      </c>
    </row>
    <row r="99">
      <c r="A99" s="2" t="inlineStr">
        <is>
          <t xml:space="preserve">albums</t>
        </is>
      </c>
      <c r="B99" s="2" t="inlineStr">
        <is>
          <t xml:space="preserve">Autumn tournament</t>
        </is>
      </c>
      <c r="C99" s="8" t="inlineStr">
        <is>
          <t xml:space="preserve">D</t>
        </is>
      </c>
      <c r="D99" s="8">
        <v>2020</v>
      </c>
      <c r="E99" s="4">
        <v>2</v>
      </c>
      <c r="F99" s="2" t="inlineStr">
        <is>
          <t xml:space="preserve">Easy</t>
        </is>
      </c>
      <c r="G99" s="2" t="inlineStr">
        <is>
          <t xml:space="preserve">Sorting</t>
        </is>
      </c>
      <c r="H99" s="2" t="inlineStr">
        <is>
          <t xml:space="preserve">Hashing / Maps</t>
        </is>
      </c>
      <c r="I99" s="2" t="inlineStr">
        <is>
          <t xml:space="preserve">Sets, Sorting, Arrays</t>
        </is>
      </c>
      <c r="J99" s="2" t="inlineStr">
        <is>
          <t xml:space="preserve">Intersect the two stamp-number sets and print the common ids</t>
        </is>
      </c>
      <c r="K99" s="2" t="inlineStr">
        <is>
          <t xml:space="preserve"/>
        </is>
      </c>
      <c r="L99" s="9" t="str">
        <f>HYPERLINK("https://arena.olimpiici.com/#/catalog/542/problem/101343","open problem")</f>
        <v>open problem</v>
      </c>
    </row>
    <row r="100">
      <c r="A100" s="2" t="inlineStr">
        <is>
          <t xml:space="preserve">strange</t>
        </is>
      </c>
      <c r="B100" s="2" t="inlineStr">
        <is>
          <t xml:space="preserve">Autumn tournament</t>
        </is>
      </c>
      <c r="C100" s="8" t="inlineStr">
        <is>
          <t xml:space="preserve">D</t>
        </is>
      </c>
      <c r="D100" s="8">
        <v>2020</v>
      </c>
      <c r="E100" s="5">
        <v>3</v>
      </c>
      <c r="F100" s="2" t="inlineStr">
        <is>
          <t xml:space="preserve">Medium</t>
        </is>
      </c>
      <c r="G100" s="2" t="inlineStr">
        <is>
          <t xml:space="preserve">Two pointers / Sliding window</t>
        </is>
      </c>
      <c r="H100" s="2" t="inlineStr">
        <is>
          <t xml:space="preserve">String processing</t>
        </is>
      </c>
      <c r="I100" s="2" t="inlineStr">
        <is>
          <t xml:space="preserve">Strings, Two pointers, Counting array, Memory optimization</t>
        </is>
      </c>
      <c r="J100" s="2" t="inlineStr">
        <is>
          <t xml:space="preserve">Longest substring with no repeated character over a 20 MB input</t>
        </is>
      </c>
      <c r="K100" s="2" t="inlineStr">
        <is>
          <t xml:space="preserve"/>
        </is>
      </c>
      <c r="L100" s="9" t="str">
        <f>HYPERLINK("https://arena.olimpiici.com/#/catalog/542/problem/101345","open problem")</f>
        <v>open problem</v>
      </c>
    </row>
    <row r="101">
      <c r="A101" s="2" t="inlineStr">
        <is>
          <t xml:space="preserve">queue</t>
        </is>
      </c>
      <c r="B101" s="2" t="inlineStr">
        <is>
          <t xml:space="preserve">Autumn tournament</t>
        </is>
      </c>
      <c r="C101" s="8" t="inlineStr">
        <is>
          <t xml:space="preserve">D</t>
        </is>
      </c>
      <c r="D101" s="8">
        <v>2021</v>
      </c>
      <c r="E101" s="6">
        <v>4</v>
      </c>
      <c r="F101" s="2" t="inlineStr">
        <is>
          <t xml:space="preserve">Hard</t>
        </is>
      </c>
      <c r="G101" s="2" t="inlineStr">
        <is>
          <t xml:space="preserve">Math / Formula</t>
        </is>
      </c>
      <c r="H101" s="2" t="inlineStr">
        <is>
          <t xml:space="preserve">Implementation / Simulation</t>
        </is>
      </c>
      <c r="I101" s="2" t="inlineStr">
        <is>
          <t xml:space="preserve">Long long, Math, Loops</t>
        </is>
      </c>
      <c r="J101" s="2" t="inlineStr">
        <is>
          <t xml:space="preserve">Invert the insertion process to find the smallest possible starting queue</t>
        </is>
      </c>
      <c r="K101" s="2" t="inlineStr">
        <is>
          <t xml:space="preserve"/>
        </is>
      </c>
      <c r="L101" s="9" t="str">
        <f>HYPERLINK("https://arena.olimpiici.com/#/catalog/639/problem/101603","open problem")</f>
        <v>open problem</v>
      </c>
    </row>
    <row r="102">
      <c r="A102" s="2" t="inlineStr">
        <is>
          <t xml:space="preserve">divide</t>
        </is>
      </c>
      <c r="B102" s="2" t="inlineStr">
        <is>
          <t xml:space="preserve">Autumn tournament</t>
        </is>
      </c>
      <c r="C102" s="8" t="inlineStr">
        <is>
          <t xml:space="preserve">D</t>
        </is>
      </c>
      <c r="D102" s="8">
        <v>2021</v>
      </c>
      <c r="E102" s="6">
        <v>4</v>
      </c>
      <c r="F102" s="2" t="inlineStr">
        <is>
          <t xml:space="preserve">Hard</t>
        </is>
      </c>
      <c r="G102" s="2" t="inlineStr">
        <is>
          <t xml:space="preserve">Number theory</t>
        </is>
      </c>
      <c r="H102" s="2" t="inlineStr">
        <is>
          <t xml:space="preserve">Math / Formula</t>
        </is>
      </c>
      <c r="I102" s="2" t="inlineStr">
        <is>
          <t xml:space="preserve">Arrays, Math, Long long</t>
        </is>
      </c>
      <c r="J102" s="2" t="inlineStr">
        <is>
          <t xml:space="preserve">Best gcd is the largest d with d*d dividing a*b; sieve smallest prime factors</t>
        </is>
      </c>
      <c r="K102" s="2" t="inlineStr">
        <is>
          <t xml:space="preserve">Математика / Решето на Ератостен</t>
        </is>
      </c>
      <c r="L102" s="9" t="str">
        <f>HYPERLINK("https://arena.olimpiici.com/#/catalog/639/problem/101604","open problem")</f>
        <v>open problem</v>
      </c>
    </row>
    <row r="103">
      <c r="A103" s="2" t="inlineStr">
        <is>
          <t xml:space="preserve">third</t>
        </is>
      </c>
      <c r="B103" s="2" t="inlineStr">
        <is>
          <t xml:space="preserve">Autumn tournament</t>
        </is>
      </c>
      <c r="C103" s="8" t="inlineStr">
        <is>
          <t xml:space="preserve">D</t>
        </is>
      </c>
      <c r="D103" s="8">
        <v>2021</v>
      </c>
      <c r="E103" s="5">
        <v>3</v>
      </c>
      <c r="F103" s="2" t="inlineStr">
        <is>
          <t xml:space="preserve">Medium</t>
        </is>
      </c>
      <c r="G103" s="2" t="inlineStr">
        <is>
          <t xml:space="preserve">Implementation / Simulation</t>
        </is>
      </c>
      <c r="H103" s="2" t="inlineStr">
        <is>
          <t xml:space="preserve">Data structures</t>
        </is>
      </c>
      <c r="I103" s="2" t="inlineStr">
        <is>
          <t xml:space="preserve">Strings, Vectors, Loops</t>
        </is>
      </c>
      <c r="J103" s="2" t="inlineStr">
        <is>
          <t xml:space="preserve">Repeatedly drop every third character and reverse until two remain</t>
        </is>
      </c>
      <c r="K103" s="2" t="inlineStr">
        <is>
          <t xml:space="preserve"/>
        </is>
      </c>
      <c r="L103" s="9" t="str">
        <f>HYPERLINK("https://arena.olimpiici.com/#/catalog/639/problem/101605","open problem")</f>
        <v>open problem</v>
      </c>
    </row>
    <row r="104">
      <c r="A104" s="2" t="inlineStr">
        <is>
          <t xml:space="preserve">prod</t>
        </is>
      </c>
      <c r="B104" s="2" t="inlineStr">
        <is>
          <t xml:space="preserve">Autumn tournament</t>
        </is>
      </c>
      <c r="C104" s="8" t="inlineStr">
        <is>
          <t xml:space="preserve">D</t>
        </is>
      </c>
      <c r="D104" s="8">
        <v>2022</v>
      </c>
      <c r="E104" s="6">
        <v>4</v>
      </c>
      <c r="F104" s="2" t="inlineStr">
        <is>
          <t xml:space="preserve">Hard</t>
        </is>
      </c>
      <c r="G104" s="2" t="inlineStr">
        <is>
          <t xml:space="preserve">Greedy</t>
        </is>
      </c>
      <c r="H104" s="2" t="inlineStr">
        <is>
          <t xml:space="preserve">Prefix sums</t>
        </is>
      </c>
      <c r="I104" s="2" t="inlineStr">
        <is>
          <t xml:space="preserve">Sorting, Prefix sums, Long long</t>
        </is>
      </c>
      <c r="J104" s="2" t="inlineStr">
        <is>
          <t xml:space="preserve">Pair large a with small b under a multiplicity cap; prefix sums answer the queries</t>
        </is>
      </c>
      <c r="K104" s="2" t="inlineStr">
        <is>
          <t xml:space="preserve">Префиксни суми (prefix array); Сортиране (sorting); Математика / Решето на Ератостен</t>
        </is>
      </c>
      <c r="L104" s="9" t="str">
        <f>HYPERLINK("https://arena.olimpiici.com/#/catalog/732/problem/101869","open problem")</f>
        <v>open problem</v>
      </c>
    </row>
    <row r="105">
      <c r="A105" s="2" t="inlineStr">
        <is>
          <t xml:space="preserve">numbers</t>
        </is>
      </c>
      <c r="B105" s="2" t="inlineStr">
        <is>
          <t xml:space="preserve">Autumn tournament</t>
        </is>
      </c>
      <c r="C105" s="8" t="inlineStr">
        <is>
          <t xml:space="preserve">D</t>
        </is>
      </c>
      <c r="D105" s="8">
        <v>2022</v>
      </c>
      <c r="E105" s="5">
        <v>3</v>
      </c>
      <c r="F105" s="2" t="inlineStr">
        <is>
          <t xml:space="preserve">Medium</t>
        </is>
      </c>
      <c r="G105" s="2" t="inlineStr">
        <is>
          <t xml:space="preserve">Brute force</t>
        </is>
      </c>
      <c r="H105" s="2" t="inlineStr">
        <is>
          <t xml:space="preserve">Constructive</t>
        </is>
      </c>
      <c r="I105" s="2" t="inlineStr">
        <is>
          <t xml:space="preserve">Strings, Long long, Chars</t>
        </is>
      </c>
      <c r="J105" s="2" t="inlineStr">
        <is>
          <t xml:space="preserve">Generate repdigit candidates (with one digit changed) and take the smallest &gt;= x</t>
        </is>
      </c>
      <c r="K105" s="2" t="inlineStr">
        <is>
          <t xml:space="preserve"/>
        </is>
      </c>
      <c r="L105" s="9" t="str">
        <f>HYPERLINK("https://arena.olimpiici.com/#/catalog/732/problem/101870","open problem")</f>
        <v>open problem</v>
      </c>
    </row>
    <row r="106">
      <c r="A106" s="2" t="inlineStr">
        <is>
          <t xml:space="preserve">recover</t>
        </is>
      </c>
      <c r="B106" s="2" t="inlineStr">
        <is>
          <t xml:space="preserve">Autumn tournament</t>
        </is>
      </c>
      <c r="C106" s="8" t="inlineStr">
        <is>
          <t xml:space="preserve">D</t>
        </is>
      </c>
      <c r="D106" s="8">
        <v>2022</v>
      </c>
      <c r="E106" s="6">
        <v>4</v>
      </c>
      <c r="F106" s="2" t="inlineStr">
        <is>
          <t xml:space="preserve">Hard</t>
        </is>
      </c>
      <c r="G106" s="2" t="inlineStr">
        <is>
          <t xml:space="preserve">Graph traversal (BFS/DFS)</t>
        </is>
      </c>
      <c r="H106" s="2" t="inlineStr">
        <is>
          <t xml:space="preserve">Constructive</t>
        </is>
      </c>
      <c r="I106" s="2" t="inlineStr">
        <is>
          <t xml:space="preserve">Vectors, Arrays, Recursion</t>
        </is>
      </c>
      <c r="J106" s="2" t="inlineStr">
        <is>
          <t xml:space="preserve">Sums link indices into a graph: fix one value per component and propagate</t>
        </is>
      </c>
      <c r="K106" s="2" t="inlineStr">
        <is>
          <t xml:space="preserve"/>
        </is>
      </c>
      <c r="L106" s="9" t="str">
        <f>HYPERLINK("https://arena.olimpiici.com/#/catalog/732/problem/101871","open problem")</f>
        <v>open problem</v>
      </c>
    </row>
    <row r="107">
      <c r="A107" s="2" t="inlineStr">
        <is>
          <t xml:space="preserve">stairs</t>
        </is>
      </c>
      <c r="B107" s="2" t="inlineStr">
        <is>
          <t xml:space="preserve">Autumn tournament</t>
        </is>
      </c>
      <c r="C107" s="8" t="inlineStr">
        <is>
          <t xml:space="preserve">D</t>
        </is>
      </c>
      <c r="D107" s="8">
        <v>2023</v>
      </c>
      <c r="E107" s="5">
        <v>3</v>
      </c>
      <c r="F107" s="2" t="inlineStr">
        <is>
          <t xml:space="preserve">Medium</t>
        </is>
      </c>
      <c r="G107" s="2" t="inlineStr">
        <is>
          <t xml:space="preserve">Sorting</t>
        </is>
      </c>
      <c r="H107" s="2" t="inlineStr">
        <is>
          <t xml:space="preserve">Two pointers / Sliding window</t>
        </is>
      </c>
      <c r="I107" s="2" t="inlineStr">
        <is>
          <t xml:space="preserve">Sorting, Arrays, Counting array</t>
        </is>
      </c>
      <c r="J107" s="2" t="inlineStr">
        <is>
          <t xml:space="preserve">Sort heights, then take the longest chain with strictly increasing steps &lt;= K</t>
        </is>
      </c>
      <c r="K107" s="2" t="inlineStr">
        <is>
          <t xml:space="preserve"/>
        </is>
      </c>
      <c r="L107" s="9" t="str">
        <f>HYPERLINK("https://arena.olimpiici.com/#/catalog/790/problem/102068","open problem")</f>
        <v>open problem</v>
      </c>
    </row>
    <row r="108">
      <c r="A108" s="2" t="inlineStr">
        <is>
          <t xml:space="preserve">gcdp</t>
        </is>
      </c>
      <c r="B108" s="2" t="inlineStr">
        <is>
          <t xml:space="preserve">Autumn tournament</t>
        </is>
      </c>
      <c r="C108" s="8" t="inlineStr">
        <is>
          <t xml:space="preserve">D</t>
        </is>
      </c>
      <c r="D108" s="8">
        <v>2023</v>
      </c>
      <c r="E108" s="6">
        <v>4</v>
      </c>
      <c r="F108" s="2" t="inlineStr">
        <is>
          <t xml:space="preserve">Hard</t>
        </is>
      </c>
      <c r="G108" s="2" t="inlineStr">
        <is>
          <t xml:space="preserve">Number theory</t>
        </is>
      </c>
      <c r="H108" s="2" t="inlineStr">
        <is>
          <t xml:space="preserve">Two pointers / Sliding window</t>
        </is>
      </c>
      <c r="I108" s="2" t="inlineStr">
        <is>
          <t xml:space="preserve">Arrays, Counting array, Loops</t>
        </is>
      </c>
      <c r="J108" s="2" t="inlineStr">
        <is>
          <t xml:space="preserve">Sieve prime factors, then find a prime dividing k consecutive elements</t>
        </is>
      </c>
      <c r="K108" s="2" t="inlineStr">
        <is>
          <t xml:space="preserve"/>
        </is>
      </c>
      <c r="L108" s="9" t="str">
        <f>HYPERLINK("https://arena.olimpiici.com/#/catalog/790/problem/102069","open problem")</f>
        <v>open problem</v>
      </c>
    </row>
    <row r="109">
      <c r="A109" s="2" t="inlineStr">
        <is>
          <t xml:space="preserve">sum</t>
        </is>
      </c>
      <c r="B109" s="2" t="inlineStr">
        <is>
          <t xml:space="preserve">Autumn tournament</t>
        </is>
      </c>
      <c r="C109" s="8" t="inlineStr">
        <is>
          <t xml:space="preserve">D</t>
        </is>
      </c>
      <c r="D109" s="8">
        <v>2023</v>
      </c>
      <c r="E109" s="4">
        <v>2</v>
      </c>
      <c r="F109" s="2" t="inlineStr">
        <is>
          <t xml:space="preserve">Easy</t>
        </is>
      </c>
      <c r="G109" s="2" t="inlineStr">
        <is>
          <t xml:space="preserve">Math / Formula</t>
        </is>
      </c>
      <c r="H109" s="2" t="inlineStr">
        <is>
          <t xml:space="preserve">Binary search</t>
        </is>
      </c>
      <c r="I109" s="2" t="inlineStr">
        <is>
          <t xml:space="preserve">Long long, Math, Memory optimization</t>
        </is>
      </c>
      <c r="J109" s="2" t="inlineStr">
        <is>
          <t xml:space="preserve">Solve n(n+1)/2 + x = S for n, then x must lie in [1, n]</t>
        </is>
      </c>
      <c r="K109" s="2" t="inlineStr">
        <is>
          <t xml:space="preserve"/>
        </is>
      </c>
      <c r="L109" s="9" t="str">
        <f>HYPERLINK("https://arena.olimpiici.com/#/catalog/790/problem/102070","open problem")</f>
        <v>open problem</v>
      </c>
    </row>
    <row r="110">
      <c r="A110" s="2" t="inlineStr">
        <is>
          <t xml:space="preserve">replace</t>
        </is>
      </c>
      <c r="B110" s="2" t="inlineStr">
        <is>
          <t xml:space="preserve">Autumn tournament</t>
        </is>
      </c>
      <c r="C110" s="8" t="inlineStr">
        <is>
          <t xml:space="preserve">D</t>
        </is>
      </c>
      <c r="D110" s="8">
        <v>2024</v>
      </c>
      <c r="E110" s="5">
        <v>3</v>
      </c>
      <c r="F110" s="2" t="inlineStr">
        <is>
          <t xml:space="preserve">Medium</t>
        </is>
      </c>
      <c r="G110" s="2" t="inlineStr">
        <is>
          <t xml:space="preserve">Two pointers / Sliding window</t>
        </is>
      </c>
      <c r="H110" s="2" t="inlineStr">
        <is>
          <t xml:space="preserve">Counting / Frequency arrays</t>
        </is>
      </c>
      <c r="I110" s="2" t="inlineStr">
        <is>
          <t xml:space="preserve">Two pointers, Arrays, Counting array</t>
        </is>
      </c>
      <c r="J110" s="2" t="inlineStr">
        <is>
          <t xml:space="preserve">For each of the 30 values, slide a window allowing at most k replacements</t>
        </is>
      </c>
      <c r="K110" s="2" t="inlineStr">
        <is>
          <t xml:space="preserve"/>
        </is>
      </c>
      <c r="L110" s="9" t="str">
        <f>HYPERLINK("https://arena.olimpiici.com/#/catalog/834/problem/102230","open problem")</f>
        <v>open problem</v>
      </c>
    </row>
    <row r="111">
      <c r="A111" s="2" t="inlineStr">
        <is>
          <t xml:space="preserve">conway</t>
        </is>
      </c>
      <c r="B111" s="2" t="inlineStr">
        <is>
          <t xml:space="preserve">Autumn tournament</t>
        </is>
      </c>
      <c r="C111" s="8" t="inlineStr">
        <is>
          <t xml:space="preserve">D</t>
        </is>
      </c>
      <c r="D111" s="8">
        <v>2024</v>
      </c>
      <c r="E111" s="7">
        <v>5</v>
      </c>
      <c r="F111" s="2" t="inlineStr">
        <is>
          <t xml:space="preserve">Very hard</t>
        </is>
      </c>
      <c r="G111" s="2" t="inlineStr">
        <is>
          <t xml:space="preserve">String processing</t>
        </is>
      </c>
      <c r="H111" s="2" t="inlineStr">
        <is>
          <t xml:space="preserve">Ad hoc / Observation</t>
        </is>
      </c>
      <c r="I111" s="2" t="inlineStr">
        <is>
          <t xml:space="preserve">Strings, Arrays, Memory optimization</t>
        </is>
      </c>
      <c r="J111" s="2" t="inlineStr">
        <is>
          <t xml:space="preserve">Look-and-say variant iterated 10^7 times; needs block decomposition or cycles</t>
        </is>
      </c>
      <c r="K111" s="2" t="inlineStr">
        <is>
          <t xml:space="preserve"/>
        </is>
      </c>
      <c r="L111" s="9" t="str">
        <f>HYPERLINK("https://arena.olimpiici.com/#/catalog/834/problem/102231","open problem")</f>
        <v>open problem</v>
      </c>
    </row>
    <row r="112">
      <c r="A112" s="2" t="inlineStr">
        <is>
          <t xml:space="preserve">city</t>
        </is>
      </c>
      <c r="B112" s="2" t="inlineStr">
        <is>
          <t xml:space="preserve">Autumn tournament</t>
        </is>
      </c>
      <c r="C112" s="8" t="inlineStr">
        <is>
          <t xml:space="preserve">D</t>
        </is>
      </c>
      <c r="D112" s="8">
        <v>2024</v>
      </c>
      <c r="E112" s="6">
        <v>4</v>
      </c>
      <c r="F112" s="2" t="inlineStr">
        <is>
          <t xml:space="preserve">Hard</t>
        </is>
      </c>
      <c r="G112" s="2" t="inlineStr">
        <is>
          <t xml:space="preserve">Number theory</t>
        </is>
      </c>
      <c r="H112" s="2" t="inlineStr">
        <is>
          <t xml:space="preserve">Sorting</t>
        </is>
      </c>
      <c r="I112" s="2" t="inlineStr">
        <is>
          <t xml:space="preserve">Sorting, Long long, Math</t>
        </is>
      </c>
      <c r="J112" s="2" t="inlineStr">
        <is>
          <t xml:space="preserve">House side must divide every block the streets cut out: gcd of all gaps</t>
        </is>
      </c>
      <c r="K112" s="2" t="inlineStr">
        <is>
          <t xml:space="preserve"/>
        </is>
      </c>
      <c r="L112" s="9" t="str">
        <f>HYPERLINK("https://arena.olimpiici.com/#/catalog/834/problem/102232","open problem")</f>
        <v>open problem</v>
      </c>
    </row>
    <row r="113">
      <c r="A113" s="2" t="inlineStr">
        <is>
          <t xml:space="preserve">removal</t>
        </is>
      </c>
      <c r="B113" s="2" t="inlineStr">
        <is>
          <t xml:space="preserve">Autumn tournament</t>
        </is>
      </c>
      <c r="C113" s="8" t="inlineStr">
        <is>
          <t xml:space="preserve">D</t>
        </is>
      </c>
      <c r="D113" s="8">
        <v>2025</v>
      </c>
      <c r="E113" s="5">
        <v>3</v>
      </c>
      <c r="F113" s="2" t="inlineStr">
        <is>
          <t xml:space="preserve">Medium</t>
        </is>
      </c>
      <c r="G113" s="2" t="inlineStr">
        <is>
          <t xml:space="preserve">Two pointers / Sliding window</t>
        </is>
      </c>
      <c r="H113" s="2" t="inlineStr">
        <is>
          <t xml:space="preserve">Prefix sums</t>
        </is>
      </c>
      <c r="I113" s="2" t="inlineStr">
        <is>
          <t xml:space="preserve">Prefix sums, Two pointers, Arrays</t>
        </is>
      </c>
      <c r="J113" s="2" t="inlineStr">
        <is>
          <t xml:space="preserve">Removed elements form a prefix plus a suffix: slide both ends for the exact sum</t>
        </is>
      </c>
      <c r="K113" s="2" t="inlineStr">
        <is>
          <t xml:space="preserve">Метод на показалките / 2-pointers</t>
        </is>
      </c>
      <c r="L113" s="9" t="str">
        <f>HYPERLINK("https://arena.olimpiici.com/#/catalog/894/problem/102468","open problem")</f>
        <v>open problem</v>
      </c>
    </row>
    <row r="114">
      <c r="A114" s="2" t="inlineStr">
        <is>
          <t xml:space="preserve">agent</t>
        </is>
      </c>
      <c r="B114" s="2" t="inlineStr">
        <is>
          <t xml:space="preserve">Autumn tournament</t>
        </is>
      </c>
      <c r="C114" s="8" t="inlineStr">
        <is>
          <t xml:space="preserve">D</t>
        </is>
      </c>
      <c r="D114" s="8">
        <v>2025</v>
      </c>
      <c r="E114" s="5">
        <v>3</v>
      </c>
      <c r="F114" s="2" t="inlineStr">
        <is>
          <t xml:space="preserve">Medium</t>
        </is>
      </c>
      <c r="G114" s="2" t="inlineStr">
        <is>
          <t xml:space="preserve">Greedy</t>
        </is>
      </c>
      <c r="H114" s="2" t="inlineStr">
        <is>
          <t xml:space="preserve">Number theory</t>
        </is>
      </c>
      <c r="I114" s="2" t="inlineStr">
        <is>
          <t xml:space="preserve">Long long, Math, Strings</t>
        </is>
      </c>
      <c r="J114" s="2" t="inlineStr">
        <is>
          <t xml:space="preserve">Factor K greedily by 9 down to 2, digits printed in increasing order</t>
        </is>
      </c>
      <c r="K114" s="2" t="inlineStr">
        <is>
          <t xml:space="preserve">Greedy</t>
        </is>
      </c>
      <c r="L114" s="9" t="str">
        <f>HYPERLINK("https://arena.olimpiici.com/#/catalog/894/problem/102469","open problem")</f>
        <v>open problem</v>
      </c>
    </row>
    <row r="115">
      <c r="A115" s="2" t="inlineStr">
        <is>
          <t xml:space="preserve">minmax</t>
        </is>
      </c>
      <c r="B115" s="2" t="inlineStr">
        <is>
          <t xml:space="preserve">Autumn tournament</t>
        </is>
      </c>
      <c r="C115" s="8" t="inlineStr">
        <is>
          <t xml:space="preserve">D</t>
        </is>
      </c>
      <c r="D115" s="8">
        <v>2025</v>
      </c>
      <c r="E115" s="6">
        <v>4</v>
      </c>
      <c r="F115" s="2" t="inlineStr">
        <is>
          <t xml:space="preserve">Hard</t>
        </is>
      </c>
      <c r="G115" s="2" t="inlineStr">
        <is>
          <t xml:space="preserve">Combinatorics</t>
        </is>
      </c>
      <c r="H115" s="2" t="inlineStr">
        <is>
          <t xml:space="preserve">Counting / Frequency arrays</t>
        </is>
      </c>
      <c r="I115" s="2" t="inlineStr">
        <is>
          <t xml:space="preserve">Sorting, Counting array, Long long</t>
        </is>
      </c>
      <c r="J115" s="2" t="inlineStr">
        <is>
          <t xml:space="preserve">For each value count pairs whose max, and whose min, equals it, then multiply</t>
        </is>
      </c>
      <c r="K115" s="2" t="inlineStr">
        <is>
          <t xml:space="preserve">Комбинаторика</t>
        </is>
      </c>
      <c r="L115" s="9" t="str">
        <f>HYPERLINK("https://arena.olimpiici.com/#/catalog/894/problem/102470","open problem")</f>
        <v>open problem</v>
      </c>
    </row>
    <row r="116">
      <c r="A116" s="2" t="inlineStr">
        <is>
          <t xml:space="preserve">maxk</t>
        </is>
      </c>
      <c r="B116" s="2" t="inlineStr">
        <is>
          <t xml:space="preserve">NOI - Municipal round</t>
        </is>
      </c>
      <c r="C116" s="8" t="inlineStr">
        <is>
          <t xml:space="preserve">C</t>
        </is>
      </c>
      <c r="D116" s="8">
        <v>2009</v>
      </c>
      <c r="E116" s="3">
        <v>1</v>
      </c>
      <c r="F116" s="2" t="inlineStr">
        <is>
          <t xml:space="preserve">Very easy</t>
        </is>
      </c>
      <c r="G116" s="2" t="inlineStr">
        <is>
          <t xml:space="preserve">Two pointers / Sliding window</t>
        </is>
      </c>
      <c r="H116" s="2" t="inlineStr">
        <is>
          <t xml:space="preserve">Prefix sums</t>
        </is>
      </c>
      <c r="I116" s="2" t="inlineStr">
        <is>
          <t xml:space="preserve">Arrays, Loops, Prefix sums</t>
        </is>
      </c>
      <c r="J116" s="2" t="inlineStr">
        <is>
          <t xml:space="preserve">Slide a window of k elements keeping a running sum</t>
        </is>
      </c>
      <c r="K116" s="2" t="inlineStr">
        <is>
          <t xml:space="preserve"/>
        </is>
      </c>
      <c r="L116" s="9" t="str">
        <f>HYPERLINK("https://arena.olimpiici.com/#/catalog/91/problem/100205","open problem")</f>
        <v>open problem</v>
      </c>
    </row>
    <row r="117">
      <c r="A117" s="2" t="inlineStr">
        <is>
          <t xml:space="preserve">fact</t>
        </is>
      </c>
      <c r="B117" s="2" t="inlineStr">
        <is>
          <t xml:space="preserve">NOI - Municipal round</t>
        </is>
      </c>
      <c r="C117" s="8" t="inlineStr">
        <is>
          <t xml:space="preserve">C</t>
        </is>
      </c>
      <c r="D117" s="8">
        <v>2009</v>
      </c>
      <c r="E117" s="5">
        <v>3</v>
      </c>
      <c r="F117" s="2" t="inlineStr">
        <is>
          <t xml:space="preserve">Medium</t>
        </is>
      </c>
      <c r="G117" s="2" t="inlineStr">
        <is>
          <t xml:space="preserve">Number theory</t>
        </is>
      </c>
      <c r="H117" s="2" t="inlineStr">
        <is>
          <t xml:space="preserve">Math / Formula</t>
        </is>
      </c>
      <c r="I117" s="2" t="inlineStr">
        <is>
          <t xml:space="preserve">Arrays, Math, Long long</t>
        </is>
      </c>
      <c r="J117" s="2" t="inlineStr">
        <is>
          <t xml:space="preserve">Legendre's formula: sum floor(N/p^k) over all primes up to N</t>
        </is>
      </c>
      <c r="K117" s="2" t="inlineStr">
        <is>
          <t xml:space="preserve">Математика / Делимост</t>
        </is>
      </c>
      <c r="L117" s="9" t="str">
        <f>HYPERLINK("https://arena.olimpiici.com/#/catalog/91/problem/100206","open problem")</f>
        <v>open problem</v>
      </c>
    </row>
    <row r="118">
      <c r="A118" s="2" t="inlineStr">
        <is>
          <t xml:space="preserve">calc</t>
        </is>
      </c>
      <c r="B118" s="2" t="inlineStr">
        <is>
          <t xml:space="preserve">NOI - Municipal round</t>
        </is>
      </c>
      <c r="C118" s="8" t="inlineStr">
        <is>
          <t xml:space="preserve">C</t>
        </is>
      </c>
      <c r="D118" s="8">
        <v>2009</v>
      </c>
      <c r="E118" s="4">
        <v>2</v>
      </c>
      <c r="F118" s="2" t="inlineStr">
        <is>
          <t xml:space="preserve">Easy</t>
        </is>
      </c>
      <c r="G118" s="2" t="inlineStr">
        <is>
          <t xml:space="preserve">Number theory</t>
        </is>
      </c>
      <c r="H118" s="2" t="inlineStr">
        <is>
          <t xml:space="preserve">String processing</t>
        </is>
      </c>
      <c r="I118" s="2" t="inlineStr">
        <is>
          <t xml:space="preserve">Strings, Math, Loops</t>
        </is>
      </c>
      <c r="J118" s="2" t="inlineStr">
        <is>
          <t xml:space="preserve">Take the binary string modulo 7 bit by bit, then report the distance to the next multiple</t>
        </is>
      </c>
      <c r="K118" s="2" t="inlineStr">
        <is>
          <t xml:space="preserve">Математика / Бройни системи</t>
        </is>
      </c>
      <c r="L118" s="9" t="str">
        <f>HYPERLINK("https://arena.olimpiici.com/#/catalog/91/problem/100207","open problem")</f>
        <v>open problem</v>
      </c>
    </row>
    <row r="119">
      <c r="A119" s="2" t="inlineStr">
        <is>
          <t xml:space="preserve">kperms</t>
        </is>
      </c>
      <c r="B119" s="2" t="inlineStr">
        <is>
          <t xml:space="preserve">NOI - Municipal round</t>
        </is>
      </c>
      <c r="C119" s="8" t="inlineStr">
        <is>
          <t xml:space="preserve">C</t>
        </is>
      </c>
      <c r="D119" s="8">
        <v>2010</v>
      </c>
      <c r="E119" s="5">
        <v>3</v>
      </c>
      <c r="F119" s="2" t="inlineStr">
        <is>
          <t xml:space="preserve">Medium</t>
        </is>
      </c>
      <c r="G119" s="2" t="inlineStr">
        <is>
          <t xml:space="preserve">Recursion / Backtracking</t>
        </is>
      </c>
      <c r="H119" s="2" t="inlineStr">
        <is>
          <t xml:space="preserve">Brute force</t>
        </is>
      </c>
      <c r="I119" s="2" t="inlineStr">
        <is>
          <t xml:space="preserve">Recursion, Arrays, Bitmask</t>
        </is>
      </c>
      <c r="J119" s="2" t="inlineStr">
        <is>
          <t xml:space="preserve">Backtrack over permutations of at most 9 elements with the |diff| &lt;= k rule</t>
        </is>
      </c>
      <c r="K119" s="2" t="inlineStr">
        <is>
          <t xml:space="preserve"/>
        </is>
      </c>
      <c r="L119" s="9" t="str">
        <f>HYPERLINK("https://arena.olimpiici.com/#/catalog/97/problem/100220","open problem")</f>
        <v>open problem</v>
      </c>
    </row>
    <row r="120">
      <c r="A120" s="2" t="inlineStr">
        <is>
          <t xml:space="preserve">quad</t>
        </is>
      </c>
      <c r="B120" s="2" t="inlineStr">
        <is>
          <t xml:space="preserve">NOI - Municipal round</t>
        </is>
      </c>
      <c r="C120" s="8" t="inlineStr">
        <is>
          <t xml:space="preserve">C</t>
        </is>
      </c>
      <c r="D120" s="8">
        <v>2010</v>
      </c>
      <c r="E120" s="4">
        <v>2</v>
      </c>
      <c r="F120" s="2" t="inlineStr">
        <is>
          <t xml:space="preserve">Easy</t>
        </is>
      </c>
      <c r="G120" s="2" t="inlineStr">
        <is>
          <t xml:space="preserve">Grid/Matrix</t>
        </is>
      </c>
      <c r="H120" s="2" t="inlineStr">
        <is>
          <t xml:space="preserve">Prefix sums</t>
        </is>
      </c>
      <c r="I120" s="2" t="inlineStr">
        <is>
          <t xml:space="preserve">2D arrays, Grid/Matrix, Loops</t>
        </is>
      </c>
      <c r="J120" s="2" t="inlineStr">
        <is>
          <t xml:space="preserve">Split the table around cell K's row and column and sum each quadrant</t>
        </is>
      </c>
      <c r="K120" s="2" t="inlineStr">
        <is>
          <t xml:space="preserve"/>
        </is>
      </c>
      <c r="L120" s="9" t="str">
        <f>HYPERLINK("https://arena.olimpiici.com/#/catalog/97/problem/100221","open problem")</f>
        <v>open problem</v>
      </c>
    </row>
    <row r="121">
      <c r="A121" s="2" t="inlineStr">
        <is>
          <t xml:space="preserve">Lubimec13</t>
        </is>
      </c>
      <c r="B121" s="2" t="inlineStr">
        <is>
          <t xml:space="preserve">NOI - Municipal round</t>
        </is>
      </c>
      <c r="C121" s="8" t="inlineStr">
        <is>
          <t xml:space="preserve">C</t>
        </is>
      </c>
      <c r="D121" s="8">
        <v>2010</v>
      </c>
      <c r="E121" s="4">
        <v>2</v>
      </c>
      <c r="F121" s="2" t="inlineStr">
        <is>
          <t xml:space="preserve">Easy</t>
        </is>
      </c>
      <c r="G121" s="2" t="inlineStr">
        <is>
          <t xml:space="preserve">String processing</t>
        </is>
      </c>
      <c r="H121" s="2" t="inlineStr">
        <is>
          <t xml:space="preserve">Ad hoc / Observation</t>
        </is>
      </c>
      <c r="I121" s="2" t="inlineStr">
        <is>
          <t xml:space="preserve">Strings, Chars, Loops</t>
        </is>
      </c>
      <c r="J121" s="2" t="inlineStr">
        <is>
          <t xml:space="preserve">A number qualifies when '1' appears before a later '3' in its digits</t>
        </is>
      </c>
      <c r="K121" s="2" t="inlineStr">
        <is>
          <t xml:space="preserve"/>
        </is>
      </c>
      <c r="L121" s="9" t="str">
        <f>HYPERLINK("https://arena.olimpiici.com/#/catalog/97/problem/100222","open problem")</f>
        <v>open problem</v>
      </c>
    </row>
    <row r="122">
      <c r="A122" s="2" t="inlineStr">
        <is>
          <t xml:space="preserve">segments</t>
        </is>
      </c>
      <c r="B122" s="2" t="inlineStr">
        <is>
          <t xml:space="preserve">NOI - Municipal round</t>
        </is>
      </c>
      <c r="C122" s="8" t="inlineStr">
        <is>
          <t xml:space="preserve">C</t>
        </is>
      </c>
      <c r="D122" s="8">
        <v>2011</v>
      </c>
      <c r="E122" s="3">
        <v>1</v>
      </c>
      <c r="F122" s="2" t="inlineStr">
        <is>
          <t xml:space="preserve">Very easy</t>
        </is>
      </c>
      <c r="G122" s="2" t="inlineStr">
        <is>
          <t xml:space="preserve">Math / Formula</t>
        </is>
      </c>
      <c r="H122" s="2" t="inlineStr">
        <is>
          <t xml:space="preserve">Geometry</t>
        </is>
      </c>
      <c r="I122" s="2" t="inlineStr">
        <is>
          <t xml:space="preserve">Math, Loops</t>
        </is>
      </c>
      <c r="J122" s="2" t="inlineStr">
        <is>
          <t xml:space="preserve">Intersection length is min(right ends) minus max(left ends), or -1</t>
        </is>
      </c>
      <c r="K122" s="2" t="inlineStr">
        <is>
          <t xml:space="preserve"/>
        </is>
      </c>
      <c r="L122" s="9" t="str">
        <f>HYPERLINK("https://arena.olimpiici.com/#/catalog/103/problem/100235","open problem")</f>
        <v>open problem</v>
      </c>
    </row>
    <row r="123">
      <c r="A123" s="2" t="inlineStr">
        <is>
          <t xml:space="preserve">table</t>
        </is>
      </c>
      <c r="B123" s="2" t="inlineStr">
        <is>
          <t xml:space="preserve">NOI - Municipal round</t>
        </is>
      </c>
      <c r="C123" s="8" t="inlineStr">
        <is>
          <t xml:space="preserve">C</t>
        </is>
      </c>
      <c r="D123" s="8">
        <v>2011</v>
      </c>
      <c r="E123" s="3">
        <v>1</v>
      </c>
      <c r="F123" s="2" t="inlineStr">
        <is>
          <t xml:space="preserve">Very easy</t>
        </is>
      </c>
      <c r="G123" s="2" t="inlineStr">
        <is>
          <t xml:space="preserve">Grid/Matrix</t>
        </is>
      </c>
      <c r="H123" s="2" t="inlineStr">
        <is>
          <t xml:space="preserve">Counting / Frequency arrays</t>
        </is>
      </c>
      <c r="I123" s="2" t="inlineStr">
        <is>
          <t xml:space="preserve">2D arrays, Grid/Matrix, Loops</t>
        </is>
      </c>
      <c r="J123" s="2" t="inlineStr">
        <is>
          <t xml:space="preserve">Number cells row by row and add those whose index is a multiple of K</t>
        </is>
      </c>
      <c r="K123" s="2" t="inlineStr">
        <is>
          <t xml:space="preserve">Двумерни и многомерни масиви</t>
        </is>
      </c>
      <c r="L123" s="9" t="str">
        <f>HYPERLINK("https://arena.olimpiici.com/#/catalog/103/problem/100236","open problem")</f>
        <v>open problem</v>
      </c>
    </row>
    <row r="124">
      <c r="A124" s="2" t="inlineStr">
        <is>
          <t xml:space="preserve">round</t>
        </is>
      </c>
      <c r="B124" s="2" t="inlineStr">
        <is>
          <t xml:space="preserve">NOI - Municipal round</t>
        </is>
      </c>
      <c r="C124" s="8" t="inlineStr">
        <is>
          <t xml:space="preserve">C</t>
        </is>
      </c>
      <c r="D124" s="8">
        <v>2011</v>
      </c>
      <c r="E124" s="4">
        <v>2</v>
      </c>
      <c r="F124" s="2" t="inlineStr">
        <is>
          <t xml:space="preserve">Easy</t>
        </is>
      </c>
      <c r="G124" s="2" t="inlineStr">
        <is>
          <t xml:space="preserve">Number theory</t>
        </is>
      </c>
      <c r="H124" s="2" t="inlineStr">
        <is>
          <t xml:space="preserve">Bit manipulation</t>
        </is>
      </c>
      <c r="I124" s="2" t="inlineStr">
        <is>
          <t xml:space="preserve">Math, Strings, Bitmask</t>
        </is>
      </c>
      <c r="J124" s="2" t="inlineStr">
        <is>
          <t xml:space="preserve">Write K-1 in binary and map 0/1 digits to 0/6 (numbers built from two digits)</t>
        </is>
      </c>
      <c r="K124" s="2" t="inlineStr">
        <is>
          <t xml:space="preserve">Математика / Бройни системи</t>
        </is>
      </c>
      <c r="L124" s="9" t="str">
        <f>HYPERLINK("https://arena.olimpiici.com/#/catalog/103/problem/100237","open problem")</f>
        <v>open problem</v>
      </c>
    </row>
    <row r="125">
      <c r="A125" s="2" t="inlineStr">
        <is>
          <t xml:space="preserve">balls</t>
        </is>
      </c>
      <c r="B125" s="2" t="inlineStr">
        <is>
          <t xml:space="preserve">NOI - Municipal round</t>
        </is>
      </c>
      <c r="C125" s="8" t="inlineStr">
        <is>
          <t xml:space="preserve">C</t>
        </is>
      </c>
      <c r="D125" s="8">
        <v>2012</v>
      </c>
      <c r="E125" s="4">
        <v>2</v>
      </c>
      <c r="F125" s="2" t="inlineStr">
        <is>
          <t xml:space="preserve">Easy</t>
        </is>
      </c>
      <c r="G125" s="2" t="inlineStr">
        <is>
          <t xml:space="preserve">Hashing / Maps</t>
        </is>
      </c>
      <c r="H125" s="2" t="inlineStr">
        <is>
          <t xml:space="preserve">Counting / Frequency arrays</t>
        </is>
      </c>
      <c r="I125" s="2" t="inlineStr">
        <is>
          <t xml:space="preserve">Sets, Long long, Loops</t>
        </is>
      </c>
      <c r="J125" s="2" t="inlineStr">
        <is>
          <t xml:space="preserve">n is huge but k &lt;= 100: subtract the number of distinct used boxes</t>
        </is>
      </c>
      <c r="K125" s="2" t="inlineStr">
        <is>
          <t xml:space="preserve">STL / Map; Сортиране (sorting); STL / Set</t>
        </is>
      </c>
      <c r="L125" s="9" t="str">
        <f>HYPERLINK("https://arena.olimpiici.com/#/catalog/109/problem/100250","open problem")</f>
        <v>open problem</v>
      </c>
    </row>
    <row r="126">
      <c r="A126" s="2" t="inlineStr">
        <is>
          <t xml:space="preserve">number</t>
        </is>
      </c>
      <c r="B126" s="2" t="inlineStr">
        <is>
          <t xml:space="preserve">NOI - Municipal round</t>
        </is>
      </c>
      <c r="C126" s="8" t="inlineStr">
        <is>
          <t xml:space="preserve">C</t>
        </is>
      </c>
      <c r="D126" s="8">
        <v>2012</v>
      </c>
      <c r="E126" s="4">
        <v>2</v>
      </c>
      <c r="F126" s="2" t="inlineStr">
        <is>
          <t xml:space="preserve">Easy</t>
        </is>
      </c>
      <c r="G126" s="2" t="inlineStr">
        <is>
          <t xml:space="preserve">Brute force</t>
        </is>
      </c>
      <c r="H126" s="2" t="inlineStr">
        <is>
          <t xml:space="preserve">Counting / Frequency arrays</t>
        </is>
      </c>
      <c r="I126" s="2" t="inlineStr">
        <is>
          <t xml:space="preserve">Loops, Math, Chars</t>
        </is>
      </c>
      <c r="J126" s="2" t="inlineStr">
        <is>
          <t xml:space="preserve">Enumerate all five-digit numbers with the digit rule and count those below the input</t>
        </is>
      </c>
      <c r="K126" s="2" t="inlineStr">
        <is>
          <t xml:space="preserve">Математика / Отделяне на цифри от число</t>
        </is>
      </c>
      <c r="L126" s="9" t="str">
        <f>HYPERLINK("https://arena.olimpiici.com/#/catalog/109/problem/100251","open problem")</f>
        <v>open problem</v>
      </c>
    </row>
    <row r="127">
      <c r="A127" s="2" t="inlineStr">
        <is>
          <t xml:space="preserve">bus</t>
        </is>
      </c>
      <c r="B127" s="2" t="inlineStr">
        <is>
          <t xml:space="preserve">NOI - Municipal round</t>
        </is>
      </c>
      <c r="C127" s="8" t="inlineStr">
        <is>
          <t xml:space="preserve">C</t>
        </is>
      </c>
      <c r="D127" s="8">
        <v>2012</v>
      </c>
      <c r="E127" s="5">
        <v>3</v>
      </c>
      <c r="F127" s="2" t="inlineStr">
        <is>
          <t xml:space="preserve">Medium</t>
        </is>
      </c>
      <c r="G127" s="2" t="inlineStr">
        <is>
          <t xml:space="preserve">Dynamic programming</t>
        </is>
      </c>
      <c r="H127" s="2" t="inlineStr">
        <is>
          <t xml:space="preserve">Shortest path</t>
        </is>
      </c>
      <c r="I127" s="2" t="inlineStr">
        <is>
          <t xml:space="preserve">Arrays, Loops, Long long</t>
        </is>
      </c>
      <c r="J127" s="2" t="inlineStr">
        <is>
          <t xml:space="preserve">DP along the stops: each card is a cheap jump over its route</t>
        </is>
      </c>
      <c r="K127" s="2" t="inlineStr">
        <is>
          <t xml:space="preserve"/>
        </is>
      </c>
      <c r="L127" s="9" t="str">
        <f>HYPERLINK("https://arena.olimpiici.com/#/catalog/109/problem/100252","open problem")</f>
        <v>open problem</v>
      </c>
    </row>
    <row r="128">
      <c r="A128" s="2" t="inlineStr">
        <is>
          <t xml:space="preserve">fibseq</t>
        </is>
      </c>
      <c r="B128" s="2" t="inlineStr">
        <is>
          <t xml:space="preserve">NOI - Municipal round</t>
        </is>
      </c>
      <c r="C128" s="8" t="inlineStr">
        <is>
          <t xml:space="preserve">C</t>
        </is>
      </c>
      <c r="D128" s="8">
        <v>2013</v>
      </c>
      <c r="E128" s="4">
        <v>2</v>
      </c>
      <c r="F128" s="2" t="inlineStr">
        <is>
          <t xml:space="preserve">Easy</t>
        </is>
      </c>
      <c r="G128" s="2" t="inlineStr">
        <is>
          <t xml:space="preserve">Math / Formula</t>
        </is>
      </c>
      <c r="H128" s="2" t="inlineStr">
        <is>
          <t xml:space="preserve">Implementation / Simulation</t>
        </is>
      </c>
      <c r="I128" s="2" t="inlineStr">
        <is>
          <t xml:space="preserve">Long long, Loops, Math</t>
        </is>
      </c>
      <c r="J128" s="2" t="inlineStr">
        <is>
          <t xml:space="preserve">Run the Fibonacci recurrence backwards n-1 times</t>
        </is>
      </c>
      <c r="K128" s="2" t="inlineStr">
        <is>
          <t xml:space="preserve"/>
        </is>
      </c>
      <c r="L128" s="9" t="str">
        <f>HYPERLINK("https://arena.olimpiici.com/#/catalog/115/problem/100265","open problem")</f>
        <v>open problem</v>
      </c>
    </row>
    <row r="129">
      <c r="A129" s="2" t="inlineStr">
        <is>
          <t xml:space="preserve">pass</t>
        </is>
      </c>
      <c r="B129" s="2" t="inlineStr">
        <is>
          <t xml:space="preserve">NOI - Municipal round</t>
        </is>
      </c>
      <c r="C129" s="8" t="inlineStr">
        <is>
          <t xml:space="preserve">C</t>
        </is>
      </c>
      <c r="D129" s="8">
        <v>2013</v>
      </c>
      <c r="E129" s="6">
        <v>4</v>
      </c>
      <c r="F129" s="2" t="inlineStr">
        <is>
          <t xml:space="preserve">Hard</t>
        </is>
      </c>
      <c r="G129" s="2" t="inlineStr">
        <is>
          <t xml:space="preserve">Greedy</t>
        </is>
      </c>
      <c r="H129" s="2" t="inlineStr">
        <is>
          <t xml:space="preserve">Two pointers / Sliding window</t>
        </is>
      </c>
      <c r="I129" s="2" t="inlineStr">
        <is>
          <t xml:space="preserve">Arrays, Two pointers, Prefix sums</t>
        </is>
      </c>
      <c r="J129" s="2" t="inlineStr">
        <is>
          <t xml:space="preserve">Match the second sequence's sums against groups of the first to recover the password</t>
        </is>
      </c>
      <c r="K129" s="2" t="inlineStr">
        <is>
          <t xml:space="preserve"/>
        </is>
      </c>
      <c r="L129" s="9" t="str">
        <f>HYPERLINK("https://arena.olimpiici.com/#/catalog/115/problem/100266","open problem")</f>
        <v>open problem</v>
      </c>
    </row>
    <row r="130">
      <c r="A130" s="2" t="inlineStr">
        <is>
          <t xml:space="preserve">barcode</t>
        </is>
      </c>
      <c r="B130" s="2" t="inlineStr">
        <is>
          <t xml:space="preserve">NOI - Municipal round</t>
        </is>
      </c>
      <c r="C130" s="8" t="inlineStr">
        <is>
          <t xml:space="preserve">C</t>
        </is>
      </c>
      <c r="D130" s="8">
        <v>2013</v>
      </c>
      <c r="E130" s="4">
        <v>2</v>
      </c>
      <c r="F130" s="2" t="inlineStr">
        <is>
          <t xml:space="preserve">Easy</t>
        </is>
      </c>
      <c r="G130" s="2" t="inlineStr">
        <is>
          <t xml:space="preserve">String processing</t>
        </is>
      </c>
      <c r="H130" s="2" t="inlineStr">
        <is>
          <t xml:space="preserve">Number theory</t>
        </is>
      </c>
      <c r="I130" s="2" t="inlineStr">
        <is>
          <t xml:space="preserve">Strings, Chars, Loops</t>
        </is>
      </c>
      <c r="J130" s="2" t="inlineStr">
        <is>
          <t xml:space="preserve">Split into 8-character barcodes and classify by divisibility of the middle four digits</t>
        </is>
      </c>
      <c r="K130" s="2" t="inlineStr">
        <is>
          <t xml:space="preserve">Basic / Низове (string)</t>
        </is>
      </c>
      <c r="L130" s="9" t="str">
        <f>HYPERLINK("https://arena.olimpiici.com/#/catalog/115/problem/100267","open problem")</f>
        <v>open problem</v>
      </c>
    </row>
    <row r="131">
      <c r="A131" s="2" t="inlineStr">
        <is>
          <t xml:space="preserve">xsum</t>
        </is>
      </c>
      <c r="B131" s="2" t="inlineStr">
        <is>
          <t xml:space="preserve">NOI - Municipal round</t>
        </is>
      </c>
      <c r="C131" s="8" t="inlineStr">
        <is>
          <t xml:space="preserve">C</t>
        </is>
      </c>
      <c r="D131" s="8">
        <v>2014</v>
      </c>
      <c r="E131" s="4">
        <v>2</v>
      </c>
      <c r="F131" s="2" t="inlineStr">
        <is>
          <t xml:space="preserve">Easy</t>
        </is>
      </c>
      <c r="G131" s="2" t="inlineStr">
        <is>
          <t xml:space="preserve">Counting / Frequency arrays</t>
        </is>
      </c>
      <c r="H131" s="2" t="inlineStr">
        <is>
          <t xml:space="preserve">Two pointers / Sliding window</t>
        </is>
      </c>
      <c r="I131" s="2" t="inlineStr">
        <is>
          <t xml:space="preserve">Counting array, Arrays, Long long</t>
        </is>
      </c>
      <c r="J131" s="2" t="inlineStr">
        <is>
          <t xml:space="preserve">Count occurrences of each value, then multiply frequencies of a and X-a</t>
        </is>
      </c>
      <c r="K131" s="2" t="inlineStr">
        <is>
          <t xml:space="preserve">Броене с масив (counting); Метод на показалките / 2-pointers</t>
        </is>
      </c>
      <c r="L131" s="9" t="str">
        <f>HYPERLINK("https://arena.olimpiici.com/#/catalog/121/problem/100280","open problem")</f>
        <v>open problem</v>
      </c>
    </row>
    <row r="132">
      <c r="A132" s="2" t="inlineStr">
        <is>
          <t xml:space="preserve">runners</t>
        </is>
      </c>
      <c r="B132" s="2" t="inlineStr">
        <is>
          <t xml:space="preserve">NOI - Municipal round</t>
        </is>
      </c>
      <c r="C132" s="8" t="inlineStr">
        <is>
          <t xml:space="preserve">C</t>
        </is>
      </c>
      <c r="D132" s="8">
        <v>2014</v>
      </c>
      <c r="E132" s="4">
        <v>2</v>
      </c>
      <c r="F132" s="2" t="inlineStr">
        <is>
          <t xml:space="preserve">Easy</t>
        </is>
      </c>
      <c r="G132" s="2" t="inlineStr">
        <is>
          <t xml:space="preserve">Sorting</t>
        </is>
      </c>
      <c r="H132" s="2" t="inlineStr">
        <is>
          <t xml:space="preserve">Ad hoc / Observation</t>
        </is>
      </c>
      <c r="I132" s="2" t="inlineStr">
        <is>
          <t xml:space="preserve">Arrays, Sorting, Loops</t>
        </is>
      </c>
      <c r="J132" s="2" t="inlineStr">
        <is>
          <t xml:space="preserve">Runner i's time is finish position minus start number; take the third best</t>
        </is>
      </c>
      <c r="K132" s="2" t="inlineStr">
        <is>
          <t xml:space="preserve"/>
        </is>
      </c>
      <c r="L132" s="9" t="str">
        <f>HYPERLINK("https://arena.olimpiici.com/#/catalog/121/problem/100281","open problem")</f>
        <v>open problem</v>
      </c>
    </row>
    <row r="133">
      <c r="A133" s="2" t="inlineStr">
        <is>
          <t xml:space="preserve">yako</t>
        </is>
      </c>
      <c r="B133" s="2" t="inlineStr">
        <is>
          <t xml:space="preserve">NOI - Municipal round</t>
        </is>
      </c>
      <c r="C133" s="8" t="inlineStr">
        <is>
          <t xml:space="preserve">C</t>
        </is>
      </c>
      <c r="D133" s="8">
        <v>2014</v>
      </c>
      <c r="E133" s="4">
        <v>2</v>
      </c>
      <c r="F133" s="2" t="inlineStr">
        <is>
          <t xml:space="preserve">Easy</t>
        </is>
      </c>
      <c r="G133" s="2" t="inlineStr">
        <is>
          <t xml:space="preserve">Number theory</t>
        </is>
      </c>
      <c r="H133" s="2" t="inlineStr">
        <is>
          <t xml:space="preserve">Brute force</t>
        </is>
      </c>
      <c r="I133" s="2" t="inlineStr">
        <is>
          <t xml:space="preserve">Loops, Math, Arrays</t>
        </is>
      </c>
      <c r="J133" s="2" t="inlineStr">
        <is>
          <t xml:space="preserve">Test each number in range for primality and a two-digit prime digit sum</t>
        </is>
      </c>
      <c r="K133" s="2" t="inlineStr">
        <is>
          <t xml:space="preserve">Математика / Решето на Ератостен</t>
        </is>
      </c>
      <c r="L133" s="9" t="str">
        <f>HYPERLINK("https://arena.olimpiici.com/#/catalog/121/problem/100282","open problem")</f>
        <v>open problem</v>
      </c>
    </row>
    <row r="134">
      <c r="A134" s="2" t="inlineStr">
        <is>
          <t xml:space="preserve">sport</t>
        </is>
      </c>
      <c r="B134" s="2" t="inlineStr">
        <is>
          <t xml:space="preserve">NOI - Municipal round</t>
        </is>
      </c>
      <c r="C134" s="8" t="inlineStr">
        <is>
          <t xml:space="preserve">C</t>
        </is>
      </c>
      <c r="D134" s="8">
        <v>2015</v>
      </c>
      <c r="E134" s="5">
        <v>3</v>
      </c>
      <c r="F134" s="2" t="inlineStr">
        <is>
          <t xml:space="preserve">Medium</t>
        </is>
      </c>
      <c r="G134" s="2" t="inlineStr">
        <is>
          <t xml:space="preserve">Data structures</t>
        </is>
      </c>
      <c r="H134" s="2" t="inlineStr">
        <is>
          <t xml:space="preserve">Ad hoc / Observation</t>
        </is>
      </c>
      <c r="I134" s="2" t="inlineStr">
        <is>
          <t xml:space="preserve">Stacks, Strings, Loops</t>
        </is>
      </c>
      <c r="J134" s="2" t="inlineStr">
        <is>
          <t xml:space="preserve">Adjacent 'R' then 'L' cancel like brackets; the circle case wraps around</t>
        </is>
      </c>
      <c r="K134" s="2" t="inlineStr">
        <is>
          <t xml:space="preserve"/>
        </is>
      </c>
      <c r="L134" s="9" t="str">
        <f>HYPERLINK("https://arena.olimpiici.com/#/catalog/127/problem/100295","open problem")</f>
        <v>open problem</v>
      </c>
    </row>
    <row r="135">
      <c r="A135" s="2" t="inlineStr">
        <is>
          <t xml:space="preserve">difference</t>
        </is>
      </c>
      <c r="B135" s="2" t="inlineStr">
        <is>
          <t xml:space="preserve">NOI - Municipal round</t>
        </is>
      </c>
      <c r="C135" s="8" t="inlineStr">
        <is>
          <t xml:space="preserve">C</t>
        </is>
      </c>
      <c r="D135" s="8">
        <v>2015</v>
      </c>
      <c r="E135" s="5">
        <v>3</v>
      </c>
      <c r="F135" s="2" t="inlineStr">
        <is>
          <t xml:space="preserve">Medium</t>
        </is>
      </c>
      <c r="G135" s="2" t="inlineStr">
        <is>
          <t xml:space="preserve">Big numbers</t>
        </is>
      </c>
      <c r="H135" s="2" t="inlineStr">
        <is>
          <t xml:space="preserve">Sorting</t>
        </is>
      </c>
      <c r="I135" s="2" t="inlineStr">
        <is>
          <t xml:space="preserve">Big integers, Counting array, Strings</t>
        </is>
      </c>
      <c r="J135" s="2" t="inlineStr">
        <is>
          <t xml:space="preserve">Sort the digits both ways and subtract two 50-digit numbers</t>
        </is>
      </c>
      <c r="K135" s="2" t="inlineStr">
        <is>
          <t xml:space="preserve">Дълги числа (Big numbers)</t>
        </is>
      </c>
      <c r="L135" s="9" t="str">
        <f>HYPERLINK("https://arena.olimpiici.com/#/catalog/127/problem/100296","open problem")</f>
        <v>open problem</v>
      </c>
    </row>
    <row r="136">
      <c r="A136" s="2" t="inlineStr">
        <is>
          <t xml:space="preserve">two</t>
        </is>
      </c>
      <c r="B136" s="2" t="inlineStr">
        <is>
          <t xml:space="preserve">NOI - Municipal round</t>
        </is>
      </c>
      <c r="C136" s="8" t="inlineStr">
        <is>
          <t xml:space="preserve">C</t>
        </is>
      </c>
      <c r="D136" s="8">
        <v>2015</v>
      </c>
      <c r="E136" s="5">
        <v>3</v>
      </c>
      <c r="F136" s="2" t="inlineStr">
        <is>
          <t xml:space="preserve">Medium</t>
        </is>
      </c>
      <c r="G136" s="2" t="inlineStr">
        <is>
          <t xml:space="preserve">Geometry</t>
        </is>
      </c>
      <c r="H136" s="2" t="inlineStr">
        <is>
          <t xml:space="preserve">Math / Formula</t>
        </is>
      </c>
      <c r="I136" s="2" t="inlineStr">
        <is>
          <t xml:space="preserve">Math, Loops</t>
        </is>
      </c>
      <c r="J136" s="2" t="inlineStr">
        <is>
          <t xml:space="preserve">Normalise both arcs modulo 360 and test whether the circular ranges overlap</t>
        </is>
      </c>
      <c r="K136" s="2" t="inlineStr">
        <is>
          <t xml:space="preserve"/>
        </is>
      </c>
      <c r="L136" s="9" t="str">
        <f>HYPERLINK("https://arena.olimpiici.com/#/catalog/127/problem/100297","open problem")</f>
        <v>open problem</v>
      </c>
    </row>
    <row r="137">
      <c r="A137" s="2" t="inlineStr">
        <is>
          <t xml:space="preserve">prime</t>
        </is>
      </c>
      <c r="B137" s="2" t="inlineStr">
        <is>
          <t xml:space="preserve">NOI - Municipal round</t>
        </is>
      </c>
      <c r="C137" s="8" t="inlineStr">
        <is>
          <t xml:space="preserve">C</t>
        </is>
      </c>
      <c r="D137" s="8">
        <v>2016</v>
      </c>
      <c r="E137" s="5">
        <v>3</v>
      </c>
      <c r="F137" s="2" t="inlineStr">
        <is>
          <t xml:space="preserve">Medium</t>
        </is>
      </c>
      <c r="G137" s="2" t="inlineStr">
        <is>
          <t xml:space="preserve">Number theory</t>
        </is>
      </c>
      <c r="H137" s="2" t="inlineStr">
        <is>
          <t xml:space="preserve">Big numbers</t>
        </is>
      </c>
      <c r="I137" s="2" t="inlineStr">
        <is>
          <t xml:space="preserve">Arrays, Big integers, Strings</t>
        </is>
      </c>
      <c r="J137" s="2" t="inlineStr">
        <is>
          <t xml:space="preserve">Sieve primes, then add the selected ones with big-number addition</t>
        </is>
      </c>
      <c r="K137" s="2" t="inlineStr">
        <is>
          <t xml:space="preserve">Математика / Прости числа; Математика / Решето на Ератостен</t>
        </is>
      </c>
      <c r="L137" s="9" t="str">
        <f>HYPERLINK("https://arena.olimpiici.com/#/catalog/133/problem/100310","open problem")</f>
        <v>open problem</v>
      </c>
    </row>
    <row r="138">
      <c r="A138" s="2" t="inlineStr">
        <is>
          <t xml:space="preserve">stepen</t>
        </is>
      </c>
      <c r="B138" s="2" t="inlineStr">
        <is>
          <t xml:space="preserve">NOI - Municipal round</t>
        </is>
      </c>
      <c r="C138" s="8" t="inlineStr">
        <is>
          <t xml:space="preserve">C</t>
        </is>
      </c>
      <c r="D138" s="8">
        <v>2016</v>
      </c>
      <c r="E138" s="5">
        <v>3</v>
      </c>
      <c r="F138" s="2" t="inlineStr">
        <is>
          <t xml:space="preserve">Medium</t>
        </is>
      </c>
      <c r="G138" s="2" t="inlineStr">
        <is>
          <t xml:space="preserve">Number theory</t>
        </is>
      </c>
      <c r="H138" s="2" t="inlineStr">
        <is>
          <t xml:space="preserve">Math / Formula</t>
        </is>
      </c>
      <c r="I138" s="2" t="inlineStr">
        <is>
          <t xml:space="preserve">Math, Long long, Loops</t>
        </is>
      </c>
      <c r="J138" s="2" t="inlineStr">
        <is>
          <t xml:space="preserve">For each exponent b, test whether the integer b-th root raised back gives X</t>
        </is>
      </c>
      <c r="K138" s="2" t="inlineStr">
        <is>
          <t xml:space="preserve">Математика / Прости числа; Математика / Степенуване</t>
        </is>
      </c>
      <c r="L138" s="9" t="str">
        <f>HYPERLINK("https://arena.olimpiici.com/#/catalog/133/problem/100311","open problem")</f>
        <v>open problem</v>
      </c>
    </row>
    <row r="139">
      <c r="A139" s="2" t="inlineStr">
        <is>
          <t xml:space="preserve">tetris</t>
        </is>
      </c>
      <c r="B139" s="2" t="inlineStr">
        <is>
          <t xml:space="preserve">NOI - Municipal round</t>
        </is>
      </c>
      <c r="C139" s="8" t="inlineStr">
        <is>
          <t xml:space="preserve">C</t>
        </is>
      </c>
      <c r="D139" s="8">
        <v>2016</v>
      </c>
      <c r="E139" s="4">
        <v>2</v>
      </c>
      <c r="F139" s="2" t="inlineStr">
        <is>
          <t xml:space="preserve">Easy</t>
        </is>
      </c>
      <c r="G139" s="2" t="inlineStr">
        <is>
          <t xml:space="preserve">Grid/Matrix</t>
        </is>
      </c>
      <c r="H139" s="2" t="inlineStr">
        <is>
          <t xml:space="preserve">Counting / Frequency arrays</t>
        </is>
      </c>
      <c r="I139" s="2" t="inlineStr">
        <is>
          <t xml:space="preserve">2D arrays, Grid/Matrix, Loops</t>
        </is>
      </c>
      <c r="J139" s="2" t="inlineStr">
        <is>
          <t xml:space="preserve">Score runs of completely filled rows with K(K+1)/2</t>
        </is>
      </c>
      <c r="K139" s="2" t="inlineStr">
        <is>
          <t xml:space="preserve">Двумерни и многомерни масиви; Разделяне на последователности</t>
        </is>
      </c>
      <c r="L139" s="9" t="str">
        <f>HYPERLINK("https://arena.olimpiici.com/#/catalog/133/problem/100312","open problem")</f>
        <v>open problem</v>
      </c>
    </row>
    <row r="140">
      <c r="A140" s="2" t="inlineStr">
        <is>
          <t xml:space="preserve">klas</t>
        </is>
      </c>
      <c r="B140" s="2" t="inlineStr">
        <is>
          <t xml:space="preserve">NOI - Municipal round</t>
        </is>
      </c>
      <c r="C140" s="8" t="inlineStr">
        <is>
          <t xml:space="preserve">C</t>
        </is>
      </c>
      <c r="D140" s="8">
        <v>2017</v>
      </c>
      <c r="E140" s="4">
        <v>2</v>
      </c>
      <c r="F140" s="2" t="inlineStr">
        <is>
          <t xml:space="preserve">Easy</t>
        </is>
      </c>
      <c r="G140" s="2" t="inlineStr">
        <is>
          <t xml:space="preserve">Counting / Frequency arrays</t>
        </is>
      </c>
      <c r="H140" s="2" t="inlineStr">
        <is>
          <t xml:space="preserve">Math / Formula</t>
        </is>
      </c>
      <c r="I140" s="2" t="inlineStr">
        <is>
          <t xml:space="preserve">Strings, Long long, Loops</t>
        </is>
      </c>
      <c r="J140" s="2" t="inlineStr">
        <is>
          <t xml:space="preserve">Track boys and girls already inside and accumulate handshakes and greetings</t>
        </is>
      </c>
      <c r="K140" s="2" t="inlineStr">
        <is>
          <t xml:space="preserve"/>
        </is>
      </c>
      <c r="L140" s="9" t="str">
        <f>HYPERLINK("https://arena.olimpiici.com/#/catalog/139/problem/100325","open problem")</f>
        <v>open problem</v>
      </c>
    </row>
    <row r="141">
      <c r="A141" s="2" t="inlineStr">
        <is>
          <t xml:space="preserve">set</t>
        </is>
      </c>
      <c r="B141" s="2" t="inlineStr">
        <is>
          <t xml:space="preserve">NOI - Municipal round</t>
        </is>
      </c>
      <c r="C141" s="8" t="inlineStr">
        <is>
          <t xml:space="preserve">C</t>
        </is>
      </c>
      <c r="D141" s="8">
        <v>2017</v>
      </c>
      <c r="E141" s="4">
        <v>2</v>
      </c>
      <c r="F141" s="2" t="inlineStr">
        <is>
          <t xml:space="preserve">Easy</t>
        </is>
      </c>
      <c r="G141" s="2" t="inlineStr">
        <is>
          <t xml:space="preserve">Sorting</t>
        </is>
      </c>
      <c r="H141" s="2" t="inlineStr">
        <is>
          <t xml:space="preserve">Greedy</t>
        </is>
      </c>
      <c r="I141" s="2" t="inlineStr">
        <is>
          <t xml:space="preserve">Sorting, Pairs, Vectors</t>
        </is>
      </c>
      <c r="J141" s="2" t="inlineStr">
        <is>
          <t xml:space="preserve">Sort the intervals and merge the overlapping or touching ones</t>
        </is>
      </c>
      <c r="K141" s="2" t="inlineStr">
        <is>
          <t xml:space="preserve"/>
        </is>
      </c>
      <c r="L141" s="9" t="str">
        <f>HYPERLINK("https://arena.olimpiici.com/#/catalog/139/problem/100326","open problem")</f>
        <v>open problem</v>
      </c>
    </row>
    <row r="142">
      <c r="A142" s="2" t="inlineStr">
        <is>
          <t xml:space="preserve">dif</t>
        </is>
      </c>
      <c r="B142" s="2" t="inlineStr">
        <is>
          <t xml:space="preserve">NOI - Municipal round</t>
        </is>
      </c>
      <c r="C142" s="8" t="inlineStr">
        <is>
          <t xml:space="preserve">C</t>
        </is>
      </c>
      <c r="D142" s="8">
        <v>2017</v>
      </c>
      <c r="E142" s="5">
        <v>3</v>
      </c>
      <c r="F142" s="2" t="inlineStr">
        <is>
          <t xml:space="preserve">Medium</t>
        </is>
      </c>
      <c r="G142" s="2" t="inlineStr">
        <is>
          <t xml:space="preserve">Number theory</t>
        </is>
      </c>
      <c r="H142" s="2" t="inlineStr">
        <is>
          <t xml:space="preserve">Math / Formula</t>
        </is>
      </c>
      <c r="I142" s="2" t="inlineStr">
        <is>
          <t xml:space="preserve">Math, Loops, Long long</t>
        </is>
      </c>
      <c r="J142" s="2" t="inlineStr">
        <is>
          <t xml:space="preserve">x = (a-b)(a+b): enumerate factor pairs with matching parity</t>
        </is>
      </c>
      <c r="K142" s="2" t="inlineStr">
        <is>
          <t xml:space="preserve"/>
        </is>
      </c>
      <c r="L142" s="9" t="str">
        <f>HYPERLINK("https://arena.olimpiici.com/#/catalog/139/problem/100327","open problem")</f>
        <v>open problem</v>
      </c>
    </row>
    <row r="143">
      <c r="A143" s="2" t="inlineStr">
        <is>
          <t xml:space="preserve">colors</t>
        </is>
      </c>
      <c r="B143" s="2" t="inlineStr">
        <is>
          <t xml:space="preserve">NOI - Municipal round</t>
        </is>
      </c>
      <c r="C143" s="8" t="inlineStr">
        <is>
          <t xml:space="preserve">C</t>
        </is>
      </c>
      <c r="D143" s="8">
        <v>2018</v>
      </c>
      <c r="E143" s="5">
        <v>3</v>
      </c>
      <c r="F143" s="2" t="inlineStr">
        <is>
          <t xml:space="preserve">Medium</t>
        </is>
      </c>
      <c r="G143" s="2" t="inlineStr">
        <is>
          <t xml:space="preserve">Greedy</t>
        </is>
      </c>
      <c r="H143" s="2" t="inlineStr">
        <is>
          <t xml:space="preserve">Counting / Frequency arrays</t>
        </is>
      </c>
      <c r="I143" s="2" t="inlineStr">
        <is>
          <t xml:space="preserve">Counting array, Sorting, Vectors</t>
        </is>
      </c>
      <c r="J143" s="2" t="inlineStr">
        <is>
          <t xml:space="preserve">Take one balloon of each colour first, then fill up with the smallest colours</t>
        </is>
      </c>
      <c r="K143" s="2" t="inlineStr">
        <is>
          <t xml:space="preserve">Броене с масив (counting)</t>
        </is>
      </c>
      <c r="L143" s="9" t="str">
        <f>HYPERLINK("https://arena.olimpiici.com/#/catalog/145/problem/100340","open problem")</f>
        <v>open problem</v>
      </c>
    </row>
    <row r="144">
      <c r="A144" s="2" t="inlineStr">
        <is>
          <t xml:space="preserve">maxn</t>
        </is>
      </c>
      <c r="B144" s="2" t="inlineStr">
        <is>
          <t xml:space="preserve">NOI - Municipal round</t>
        </is>
      </c>
      <c r="C144" s="8" t="inlineStr">
        <is>
          <t xml:space="preserve">C</t>
        </is>
      </c>
      <c r="D144" s="8">
        <v>2018</v>
      </c>
      <c r="E144" s="4">
        <v>2</v>
      </c>
      <c r="F144" s="2" t="inlineStr">
        <is>
          <t xml:space="preserve">Easy</t>
        </is>
      </c>
      <c r="G144" s="2" t="inlineStr">
        <is>
          <t xml:space="preserve">Brute force</t>
        </is>
      </c>
      <c r="H144" s="2" t="inlineStr">
        <is>
          <t xml:space="preserve">String processing</t>
        </is>
      </c>
      <c r="I144" s="2" t="inlineStr">
        <is>
          <t xml:space="preserve">Strings, Arrays, Loops</t>
        </is>
      </c>
      <c r="J144" s="2" t="inlineStr">
        <is>
          <t xml:space="preserve">Try all 2n starting point/direction combinations and keep the largest string</t>
        </is>
      </c>
      <c r="K144" s="2" t="inlineStr">
        <is>
          <t xml:space="preserve"/>
        </is>
      </c>
      <c r="L144" s="9" t="str">
        <f>HYPERLINK("https://arena.olimpiici.com/#/catalog/145/problem/100341","open problem")</f>
        <v>open problem</v>
      </c>
    </row>
    <row r="145">
      <c r="A145" s="2" t="inlineStr">
        <is>
          <t xml:space="preserve">pnum</t>
        </is>
      </c>
      <c r="B145" s="2" t="inlineStr">
        <is>
          <t xml:space="preserve">NOI - Municipal round</t>
        </is>
      </c>
      <c r="C145" s="8" t="inlineStr">
        <is>
          <t xml:space="preserve">C</t>
        </is>
      </c>
      <c r="D145" s="8">
        <v>2018</v>
      </c>
      <c r="E145" s="5">
        <v>3</v>
      </c>
      <c r="F145" s="2" t="inlineStr">
        <is>
          <t xml:space="preserve">Medium</t>
        </is>
      </c>
      <c r="G145" s="2" t="inlineStr">
        <is>
          <t xml:space="preserve">Number theory</t>
        </is>
      </c>
      <c r="H145" s="2" t="inlineStr">
        <is>
          <t xml:space="preserve">Brute force</t>
        </is>
      </c>
      <c r="I145" s="2" t="inlineStr">
        <is>
          <t xml:space="preserve">Math, Long long, Loops</t>
        </is>
      </c>
      <c r="J145" s="2" t="inlineStr">
        <is>
          <t xml:space="preserve">Enumerate 0/1 digit combinations in base p while the value stays under n</t>
        </is>
      </c>
      <c r="K145" s="2" t="inlineStr">
        <is>
          <t xml:space="preserve">Математика / Бройни системи</t>
        </is>
      </c>
      <c r="L145" s="9" t="str">
        <f>HYPERLINK("https://arena.olimpiici.com/#/catalog/145/problem/100342","open problem")</f>
        <v>open problem</v>
      </c>
    </row>
    <row r="146">
      <c r="A146" s="2" t="inlineStr">
        <is>
          <t xml:space="preserve">perm</t>
        </is>
      </c>
      <c r="B146" s="2" t="inlineStr">
        <is>
          <t xml:space="preserve">NOI - Municipal round</t>
        </is>
      </c>
      <c r="C146" s="8" t="inlineStr">
        <is>
          <t xml:space="preserve">C</t>
        </is>
      </c>
      <c r="D146" s="8">
        <v>2019</v>
      </c>
      <c r="E146" s="5">
        <v>3</v>
      </c>
      <c r="F146" s="2" t="inlineStr">
        <is>
          <t xml:space="preserve">Medium</t>
        </is>
      </c>
      <c r="G146" s="2" t="inlineStr">
        <is>
          <t xml:space="preserve">Hashing / Maps</t>
        </is>
      </c>
      <c r="H146" s="2" t="inlineStr">
        <is>
          <t xml:space="preserve">Sorting</t>
        </is>
      </c>
      <c r="I146" s="2" t="inlineStr">
        <is>
          <t xml:space="preserve">Maps, Sorting, Strings</t>
        </is>
      </c>
      <c r="J146" s="2" t="inlineStr">
        <is>
          <t xml:space="preserve">Sort each number's digits as a key; any key with count &gt; 1 contributes all its numbers</t>
        </is>
      </c>
      <c r="K146" s="2" t="inlineStr">
        <is>
          <t xml:space="preserve">Сортиране (sorting); STL; STL / Set</t>
        </is>
      </c>
      <c r="L146" s="9" t="str">
        <f>HYPERLINK("https://arena.olimpiici.com/#/catalog/381/problem/101046","open problem")</f>
        <v>open problem</v>
      </c>
    </row>
    <row r="147">
      <c r="A147" s="2" t="inlineStr">
        <is>
          <t xml:space="preserve">lica</t>
        </is>
      </c>
      <c r="B147" s="2" t="inlineStr">
        <is>
          <t xml:space="preserve">NOI - Municipal round</t>
        </is>
      </c>
      <c r="C147" s="8" t="inlineStr">
        <is>
          <t xml:space="preserve">C</t>
        </is>
      </c>
      <c r="D147" s="8">
        <v>2019</v>
      </c>
      <c r="E147" s="5">
        <v>3</v>
      </c>
      <c r="F147" s="2" t="inlineStr">
        <is>
          <t xml:space="preserve">Medium</t>
        </is>
      </c>
      <c r="G147" s="2" t="inlineStr">
        <is>
          <t xml:space="preserve">Geometry</t>
        </is>
      </c>
      <c r="H147" s="2" t="inlineStr">
        <is>
          <t xml:space="preserve">Math / Formula</t>
        </is>
      </c>
      <c r="I147" s="2" t="inlineStr">
        <is>
          <t xml:space="preserve">Math, Structs, Loops</t>
        </is>
      </c>
      <c r="J147" s="2" t="inlineStr">
        <is>
          <t xml:space="preserve">Bounding rectangle minus the corner right triangles gives the area</t>
        </is>
      </c>
      <c r="K147" s="2" t="inlineStr">
        <is>
          <t xml:space="preserve">Геометрия</t>
        </is>
      </c>
      <c r="L147" s="9" t="str">
        <f>HYPERLINK("https://arena.olimpiici.com/#/catalog/381/problem/101047","open problem")</f>
        <v>open problem</v>
      </c>
    </row>
    <row r="148">
      <c r="A148" s="2" t="inlineStr">
        <is>
          <t xml:space="preserve">seq</t>
        </is>
      </c>
      <c r="B148" s="2" t="inlineStr">
        <is>
          <t xml:space="preserve">NOI - Municipal round</t>
        </is>
      </c>
      <c r="C148" s="8" t="inlineStr">
        <is>
          <t xml:space="preserve">C</t>
        </is>
      </c>
      <c r="D148" s="8">
        <v>2019</v>
      </c>
      <c r="E148" s="4">
        <v>2</v>
      </c>
      <c r="F148" s="2" t="inlineStr">
        <is>
          <t xml:space="preserve">Easy</t>
        </is>
      </c>
      <c r="G148" s="2" t="inlineStr">
        <is>
          <t xml:space="preserve">Combinatorics</t>
        </is>
      </c>
      <c r="H148" s="2" t="inlineStr">
        <is>
          <t xml:space="preserve">Big numbers</t>
        </is>
      </c>
      <c r="I148" s="2" t="inlineStr">
        <is>
          <t xml:space="preserve">Math, Big integers, Long long</t>
        </is>
      </c>
      <c r="J148" s="2" t="inlineStr">
        <is>
          <t xml:space="preserve">An increasing sequence is just a choice of n values from k: C(k,n)</t>
        </is>
      </c>
      <c r="K148" s="2" t="inlineStr">
        <is>
          <t xml:space="preserve">Динамично програмиране (Dynamic programming)</t>
        </is>
      </c>
      <c r="L148" s="9" t="str">
        <f>HYPERLINK("https://arena.olimpiici.com/#/catalog/381/problem/101048","open problem")</f>
        <v>open problem</v>
      </c>
    </row>
    <row r="149">
      <c r="A149" s="2" t="inlineStr">
        <is>
          <t xml:space="preserve">closest</t>
        </is>
      </c>
      <c r="B149" s="2" t="inlineStr">
        <is>
          <t xml:space="preserve">NOI - Municipal round</t>
        </is>
      </c>
      <c r="C149" s="8" t="inlineStr">
        <is>
          <t xml:space="preserve">C</t>
        </is>
      </c>
      <c r="D149" s="8">
        <v>2020</v>
      </c>
      <c r="E149" s="5">
        <v>3</v>
      </c>
      <c r="F149" s="2" t="inlineStr">
        <is>
          <t xml:space="preserve">Medium</t>
        </is>
      </c>
      <c r="G149" s="2" t="inlineStr">
        <is>
          <t xml:space="preserve">Sorting</t>
        </is>
      </c>
      <c r="H149" s="2" t="inlineStr">
        <is>
          <t xml:space="preserve">Two pointers / Sliding window</t>
        </is>
      </c>
      <c r="I149" s="2" t="inlineStr">
        <is>
          <t xml:space="preserve">Sorting, Two pointers, Long long</t>
        </is>
      </c>
      <c r="J149" s="2" t="inlineStr">
        <is>
          <t xml:space="preserve">Sort the values and sweep two pointers for the pair sum closest to v</t>
        </is>
      </c>
      <c r="K149" s="2" t="inlineStr">
        <is>
          <t xml:space="preserve"/>
        </is>
      </c>
      <c r="L149" s="9" t="str">
        <f>HYPERLINK("https://arena.olimpiici.com/#/catalog/556/problem/101369","open problem")</f>
        <v>open problem</v>
      </c>
    </row>
    <row r="150">
      <c r="A150" s="2" t="inlineStr">
        <is>
          <t xml:space="preserve">chess</t>
        </is>
      </c>
      <c r="B150" s="2" t="inlineStr">
        <is>
          <t xml:space="preserve">NOI - Municipal round</t>
        </is>
      </c>
      <c r="C150" s="8" t="inlineStr">
        <is>
          <t xml:space="preserve">C</t>
        </is>
      </c>
      <c r="D150" s="8">
        <v>2020</v>
      </c>
      <c r="E150" s="5">
        <v>3</v>
      </c>
      <c r="F150" s="2" t="inlineStr">
        <is>
          <t xml:space="preserve">Medium</t>
        </is>
      </c>
      <c r="G150" s="2" t="inlineStr">
        <is>
          <t xml:space="preserve">Graph traversal (BFS/DFS)</t>
        </is>
      </c>
      <c r="H150" s="2" t="inlineStr">
        <is>
          <t xml:space="preserve">Grid/Matrix</t>
        </is>
      </c>
      <c r="I150" s="2" t="inlineStr">
        <is>
          <t xml:space="preserve">Queues, 2D arrays, Grid/Matrix</t>
        </is>
      </c>
      <c r="J150" s="2" t="inlineStr">
        <is>
          <t xml:space="preserve">BFS knight distances from both squares, take the smallest equal-time meeting cell</t>
        </is>
      </c>
      <c r="K150" s="2" t="inlineStr">
        <is>
          <t xml:space="preserve"/>
        </is>
      </c>
      <c r="L150" s="9" t="str">
        <f>HYPERLINK("https://arena.olimpiici.com/#/catalog/556/problem/101370","open problem")</f>
        <v>open problem</v>
      </c>
    </row>
    <row r="151">
      <c r="A151" s="2" t="inlineStr">
        <is>
          <t xml:space="preserve">max2</t>
        </is>
      </c>
      <c r="B151" s="2" t="inlineStr">
        <is>
          <t xml:space="preserve">NOI - Municipal round</t>
        </is>
      </c>
      <c r="C151" s="8" t="inlineStr">
        <is>
          <t xml:space="preserve">C</t>
        </is>
      </c>
      <c r="D151" s="8">
        <v>2020</v>
      </c>
      <c r="E151" s="4">
        <v>2</v>
      </c>
      <c r="F151" s="2" t="inlineStr">
        <is>
          <t xml:space="preserve">Easy</t>
        </is>
      </c>
      <c r="G151" s="2" t="inlineStr">
        <is>
          <t xml:space="preserve">Ad hoc / Observation</t>
        </is>
      </c>
      <c r="H151" s="2" t="inlineStr">
        <is>
          <t xml:space="preserve">Sorting</t>
        </is>
      </c>
      <c r="I151" s="2" t="inlineStr">
        <is>
          <t xml:space="preserve">Arrays, Loops, Long long</t>
        </is>
      </c>
      <c r="J151" s="2" t="inlineStr">
        <is>
          <t xml:space="preserve">Keep the two largest values seen so far while scanning the sequence</t>
        </is>
      </c>
      <c r="K151" s="2" t="inlineStr">
        <is>
          <t xml:space="preserve"/>
        </is>
      </c>
      <c r="L151" s="9" t="str">
        <f>HYPERLINK("https://arena.olimpiici.com/#/catalog/556/problem/101371","open problem")</f>
        <v>open problem</v>
      </c>
    </row>
    <row r="152">
      <c r="A152" s="2" t="inlineStr">
        <is>
          <t xml:space="preserve">coprimes</t>
        </is>
      </c>
      <c r="B152" s="2" t="inlineStr">
        <is>
          <t xml:space="preserve">NOI - Municipal round</t>
        </is>
      </c>
      <c r="C152" s="8" t="inlineStr">
        <is>
          <t xml:space="preserve">C</t>
        </is>
      </c>
      <c r="D152" s="8">
        <v>2021</v>
      </c>
      <c r="E152" s="6">
        <v>4</v>
      </c>
      <c r="F152" s="2" t="inlineStr">
        <is>
          <t xml:space="preserve">Hard</t>
        </is>
      </c>
      <c r="G152" s="2" t="inlineStr">
        <is>
          <t xml:space="preserve">Two pointers / Sliding window</t>
        </is>
      </c>
      <c r="H152" s="2" t="inlineStr">
        <is>
          <t xml:space="preserve">Number theory</t>
        </is>
      </c>
      <c r="I152" s="2" t="inlineStr">
        <is>
          <t xml:space="preserve">Two pointers, Counting array, Arrays</t>
        </is>
      </c>
      <c r="J152" s="2" t="inlineStr">
        <is>
          <t xml:space="preserve">Slide a window keeping each prime factor used at most once</t>
        </is>
      </c>
      <c r="K152" s="2" t="inlineStr">
        <is>
          <t xml:space="preserve"/>
        </is>
      </c>
      <c r="L152" s="9" t="str">
        <f>HYPERLINK("https://arena.olimpiici.com/#/catalog/626/problem/101572","open problem")</f>
        <v>open problem</v>
      </c>
    </row>
    <row r="153">
      <c r="A153" s="2" t="inlineStr">
        <is>
          <t xml:space="preserve">stena</t>
        </is>
      </c>
      <c r="B153" s="2" t="inlineStr">
        <is>
          <t xml:space="preserve">NOI - Municipal round</t>
        </is>
      </c>
      <c r="C153" s="8" t="inlineStr">
        <is>
          <t xml:space="preserve">C</t>
        </is>
      </c>
      <c r="D153" s="8">
        <v>2021</v>
      </c>
      <c r="E153" s="6">
        <v>4</v>
      </c>
      <c r="F153" s="2" t="inlineStr">
        <is>
          <t xml:space="preserve">Hard</t>
        </is>
      </c>
      <c r="G153" s="2" t="inlineStr">
        <is>
          <t xml:space="preserve">Graph traversal (BFS/DFS)</t>
        </is>
      </c>
      <c r="H153" s="2" t="inlineStr">
        <is>
          <t xml:space="preserve">Dynamic programming</t>
        </is>
      </c>
      <c r="I153" s="2" t="inlineStr">
        <is>
          <t xml:space="preserve">Vectors, Arrays, Recursion</t>
        </is>
      </c>
      <c r="J153" s="2" t="inlineStr">
        <is>
          <t xml:space="preserve">'Lies on' relations form a DAG: the height is the longest chain plus one</t>
        </is>
      </c>
      <c r="K153" s="2" t="inlineStr">
        <is>
          <t xml:space="preserve"/>
        </is>
      </c>
      <c r="L153" s="9" t="str">
        <f>HYPERLINK("https://arena.olimpiici.com/#/catalog/626/problem/101573","open problem")</f>
        <v>open problem</v>
      </c>
    </row>
    <row r="154">
      <c r="A154" s="2" t="inlineStr">
        <is>
          <t xml:space="preserve">chet</t>
        </is>
      </c>
      <c r="B154" s="2" t="inlineStr">
        <is>
          <t xml:space="preserve">NOI - Municipal round</t>
        </is>
      </c>
      <c r="C154" s="8" t="inlineStr">
        <is>
          <t xml:space="preserve">C</t>
        </is>
      </c>
      <c r="D154" s="8">
        <v>2021</v>
      </c>
      <c r="E154" s="6">
        <v>4</v>
      </c>
      <c r="F154" s="2" t="inlineStr">
        <is>
          <t xml:space="preserve">Hard</t>
        </is>
      </c>
      <c r="G154" s="2" t="inlineStr">
        <is>
          <t xml:space="preserve">Greedy</t>
        </is>
      </c>
      <c r="H154" s="2" t="inlineStr">
        <is>
          <t xml:space="preserve">Constructive</t>
        </is>
      </c>
      <c r="I154" s="2" t="inlineStr">
        <is>
          <t xml:space="preserve">Strings, Chars, Big integers</t>
        </is>
      </c>
      <c r="J154" s="2" t="inlineStr">
        <is>
          <t xml:space="preserve">Scan left to right; at the first odd digit drop to the next lower even digit and fill with 8s</t>
        </is>
      </c>
      <c r="K154" s="2" t="inlineStr">
        <is>
          <t xml:space="preserve"/>
        </is>
      </c>
      <c r="L154" s="9" t="str">
        <f>HYPERLINK("https://arena.olimpiici.com/#/catalog/626/problem/101574","open problem")</f>
        <v>open problem</v>
      </c>
    </row>
    <row r="155">
      <c r="A155" s="2" t="inlineStr">
        <is>
          <t xml:space="preserve">robot</t>
        </is>
      </c>
      <c r="B155" s="2" t="inlineStr">
        <is>
          <t xml:space="preserve">NOI - Municipal round</t>
        </is>
      </c>
      <c r="C155" s="8" t="inlineStr">
        <is>
          <t xml:space="preserve">C</t>
        </is>
      </c>
      <c r="D155" s="8">
        <v>2022</v>
      </c>
      <c r="E155" s="4">
        <v>2</v>
      </c>
      <c r="F155" s="2" t="inlineStr">
        <is>
          <t xml:space="preserve">Easy</t>
        </is>
      </c>
      <c r="G155" s="2" t="inlineStr">
        <is>
          <t xml:space="preserve">Ad hoc / Observation</t>
        </is>
      </c>
      <c r="H155" s="2" t="inlineStr">
        <is>
          <t xml:space="preserve">Counting / Frequency arrays</t>
        </is>
      </c>
      <c r="I155" s="2" t="inlineStr">
        <is>
          <t xml:space="preserve">Strings, Chars, Loops</t>
        </is>
      </c>
      <c r="J155" s="2" t="inlineStr">
        <is>
          <t xml:space="preserve">Only the net displacement matters: output the opposite moves in the required order</t>
        </is>
      </c>
      <c r="K155" s="2" t="inlineStr">
        <is>
          <t xml:space="preserve"/>
        </is>
      </c>
      <c r="L155" s="9" t="str">
        <f>HYPERLINK("https://arena.olimpiici.com/#/catalog/651/problem/101634","open problem")</f>
        <v>open problem</v>
      </c>
    </row>
    <row r="156">
      <c r="A156" s="2" t="inlineStr">
        <is>
          <t xml:space="preserve">vector</t>
        </is>
      </c>
      <c r="B156" s="2" t="inlineStr">
        <is>
          <t xml:space="preserve">NOI - Municipal round</t>
        </is>
      </c>
      <c r="C156" s="8" t="inlineStr">
        <is>
          <t xml:space="preserve">C</t>
        </is>
      </c>
      <c r="D156" s="8">
        <v>2022</v>
      </c>
      <c r="E156" s="4">
        <v>2</v>
      </c>
      <c r="F156" s="2" t="inlineStr">
        <is>
          <t xml:space="preserve">Easy</t>
        </is>
      </c>
      <c r="G156" s="2" t="inlineStr">
        <is>
          <t xml:space="preserve">Math / Formula</t>
        </is>
      </c>
      <c r="H156" s="2" t="inlineStr">
        <is>
          <t xml:space="preserve">Geometry</t>
        </is>
      </c>
      <c r="I156" s="2" t="inlineStr">
        <is>
          <t xml:space="preserve">Math, Long long, Loops</t>
        </is>
      </c>
      <c r="J156" s="2" t="inlineStr">
        <is>
          <t xml:space="preserve">Equal vectors are translations: (a-|dx|+1)*(b-|dy|+1) placements fit in the box</t>
        </is>
      </c>
      <c r="K156" s="2" t="inlineStr">
        <is>
          <t xml:space="preserve"/>
        </is>
      </c>
      <c r="L156" s="9" t="str">
        <f>HYPERLINK("https://arena.olimpiici.com/#/catalog/651/problem/101635","open problem")</f>
        <v>open problem</v>
      </c>
    </row>
    <row r="157">
      <c r="A157" s="2" t="inlineStr">
        <is>
          <t xml:space="preserve">maxnum</t>
        </is>
      </c>
      <c r="B157" s="2" t="inlineStr">
        <is>
          <t xml:space="preserve">NOI - Municipal round</t>
        </is>
      </c>
      <c r="C157" s="8" t="inlineStr">
        <is>
          <t xml:space="preserve">C</t>
        </is>
      </c>
      <c r="D157" s="8">
        <v>2022</v>
      </c>
      <c r="E157" s="5">
        <v>3</v>
      </c>
      <c r="F157" s="2" t="inlineStr">
        <is>
          <t xml:space="preserve">Medium</t>
        </is>
      </c>
      <c r="G157" s="2" t="inlineStr">
        <is>
          <t xml:space="preserve">Greedy</t>
        </is>
      </c>
      <c r="H157" s="2" t="inlineStr">
        <is>
          <t xml:space="preserve">Math / Formula</t>
        </is>
      </c>
      <c r="I157" s="2" t="inlineStr">
        <is>
          <t xml:space="preserve">Strings, Math, Loops</t>
        </is>
      </c>
      <c r="J157" s="2" t="inlineStr">
        <is>
          <t xml:space="preserve">Digit 1 costs two segments, so use as many 1s as possible with a 7 for odd leftovers</t>
        </is>
      </c>
      <c r="K157" s="2" t="inlineStr">
        <is>
          <t xml:space="preserve"/>
        </is>
      </c>
      <c r="L157" s="9" t="str">
        <f>HYPERLINK("https://arena.olimpiici.com/#/catalog/651/problem/101636","open problem")</f>
        <v>open problem</v>
      </c>
    </row>
    <row r="158">
      <c r="A158" s="2" t="inlineStr">
        <is>
          <t xml:space="preserve">cover</t>
        </is>
      </c>
      <c r="B158" s="2" t="inlineStr">
        <is>
          <t xml:space="preserve">NOI - Municipal round</t>
        </is>
      </c>
      <c r="C158" s="8" t="inlineStr">
        <is>
          <t xml:space="preserve">C</t>
        </is>
      </c>
      <c r="D158" s="8">
        <v>2023</v>
      </c>
      <c r="E158" s="5">
        <v>3</v>
      </c>
      <c r="F158" s="2" t="inlineStr">
        <is>
          <t xml:space="preserve">Medium</t>
        </is>
      </c>
      <c r="G158" s="2" t="inlineStr">
        <is>
          <t xml:space="preserve">Prefix sums</t>
        </is>
      </c>
      <c r="H158" s="2" t="inlineStr">
        <is>
          <t xml:space="preserve">Sorting</t>
        </is>
      </c>
      <c r="I158" s="2" t="inlineStr">
        <is>
          <t xml:space="preserve">Prefix sums, Arrays, Long long</t>
        </is>
      </c>
      <c r="J158" s="2" t="inlineStr">
        <is>
          <t xml:space="preserve">Difference array over unit intervals finds the maximum coverage and its total length</t>
        </is>
      </c>
      <c r="K158" s="2" t="inlineStr">
        <is>
          <t xml:space="preserve"/>
        </is>
      </c>
      <c r="L158" s="9" t="str">
        <f>HYPERLINK("https://arena.olimpiici.com/#/catalog/741/problem/101902","open problem")</f>
        <v>open problem</v>
      </c>
    </row>
    <row r="159">
      <c r="A159" s="2" t="inlineStr">
        <is>
          <t xml:space="preserve">mult</t>
        </is>
      </c>
      <c r="B159" s="2" t="inlineStr">
        <is>
          <t xml:space="preserve">NOI - Municipal round</t>
        </is>
      </c>
      <c r="C159" s="8" t="inlineStr">
        <is>
          <t xml:space="preserve">C</t>
        </is>
      </c>
      <c r="D159" s="8">
        <v>2023</v>
      </c>
      <c r="E159" s="5">
        <v>3</v>
      </c>
      <c r="F159" s="2" t="inlineStr">
        <is>
          <t xml:space="preserve">Medium</t>
        </is>
      </c>
      <c r="G159" s="2" t="inlineStr">
        <is>
          <t xml:space="preserve">Number theory</t>
        </is>
      </c>
      <c r="H159" s="2" t="inlineStr">
        <is>
          <t xml:space="preserve">Combinatorics</t>
        </is>
      </c>
      <c r="I159" s="2" t="inlineStr">
        <is>
          <t xml:space="preserve">Math, Loops, Long long</t>
        </is>
      </c>
      <c r="J159" s="2" t="inlineStr">
        <is>
          <t xml:space="preserve">Enumerate divisor pairs up to the cube root and count unordered triples</t>
        </is>
      </c>
      <c r="K159" s="2" t="inlineStr">
        <is>
          <t xml:space="preserve"/>
        </is>
      </c>
      <c r="L159" s="9" t="str">
        <f>HYPERLINK("https://arena.olimpiici.com/#/catalog/741/problem/101903","open problem")</f>
        <v>open problem</v>
      </c>
    </row>
    <row r="160">
      <c r="A160" s="2" t="inlineStr">
        <is>
          <t xml:space="preserve">most</t>
        </is>
      </c>
      <c r="B160" s="2" t="inlineStr">
        <is>
          <t xml:space="preserve">NOI - Municipal round</t>
        </is>
      </c>
      <c r="C160" s="8" t="inlineStr">
        <is>
          <t xml:space="preserve">C</t>
        </is>
      </c>
      <c r="D160" s="8">
        <v>2023</v>
      </c>
      <c r="E160" s="5">
        <v>3</v>
      </c>
      <c r="F160" s="2" t="inlineStr">
        <is>
          <t xml:space="preserve">Medium</t>
        </is>
      </c>
      <c r="G160" s="2" t="inlineStr">
        <is>
          <t xml:space="preserve">Math / Formula</t>
        </is>
      </c>
      <c r="H160" s="2" t="inlineStr">
        <is>
          <t xml:space="preserve">Greedy</t>
        </is>
      </c>
      <c r="I160" s="2" t="inlineStr">
        <is>
          <t xml:space="preserve">Long long, Math</t>
        </is>
      </c>
      <c r="J160" s="2" t="inlineStr">
        <is>
          <t xml:space="preserve">Every K-th plank is rotten: derive the jump count arithmetically rather than simulate</t>
        </is>
      </c>
      <c r="K160" s="2" t="inlineStr">
        <is>
          <t xml:space="preserve"/>
        </is>
      </c>
      <c r="L160" s="9" t="str">
        <f>HYPERLINK("https://arena.olimpiici.com/#/catalog/741/problem/101904","open problem")</f>
        <v>open problem</v>
      </c>
    </row>
    <row r="161">
      <c r="A161" s="2" t="inlineStr">
        <is>
          <t xml:space="preserve">knight</t>
        </is>
      </c>
      <c r="B161" s="2" t="inlineStr">
        <is>
          <t xml:space="preserve">NOI - Municipal round</t>
        </is>
      </c>
      <c r="C161" s="8" t="inlineStr">
        <is>
          <t xml:space="preserve">C</t>
        </is>
      </c>
      <c r="D161" s="8">
        <v>2024</v>
      </c>
      <c r="E161" s="6">
        <v>4</v>
      </c>
      <c r="F161" s="2" t="inlineStr">
        <is>
          <t xml:space="preserve">Hard</t>
        </is>
      </c>
      <c r="G161" s="2" t="inlineStr">
        <is>
          <t xml:space="preserve">Implementation / Simulation</t>
        </is>
      </c>
      <c r="H161" s="2" t="inlineStr">
        <is>
          <t xml:space="preserve">Grid/Matrix</t>
        </is>
      </c>
      <c r="I161" s="2" t="inlineStr">
        <is>
          <t xml:space="preserve">2D arrays, Grid/Matrix, Loops</t>
        </is>
      </c>
      <c r="J161" s="2" t="inlineStr">
        <is>
          <t xml:space="preserve">Simulate the greedy knight walk; the board is large so the path must be tracked sparsely</t>
        </is>
      </c>
      <c r="K161" s="2" t="inlineStr">
        <is>
          <t xml:space="preserve"/>
        </is>
      </c>
      <c r="L161" s="9" t="str">
        <f>HYPERLINK("https://arena.olimpiici.com/#/catalog/793/problem/102088","open problem")</f>
        <v>open problem</v>
      </c>
    </row>
    <row r="162">
      <c r="A162" s="2" t="inlineStr">
        <is>
          <t xml:space="preserve">primes</t>
        </is>
      </c>
      <c r="B162" s="2" t="inlineStr">
        <is>
          <t xml:space="preserve">NOI - Municipal round</t>
        </is>
      </c>
      <c r="C162" s="8" t="inlineStr">
        <is>
          <t xml:space="preserve">C</t>
        </is>
      </c>
      <c r="D162" s="8">
        <v>2024</v>
      </c>
      <c r="E162" s="5">
        <v>3</v>
      </c>
      <c r="F162" s="2" t="inlineStr">
        <is>
          <t xml:space="preserve">Medium</t>
        </is>
      </c>
      <c r="G162" s="2" t="inlineStr">
        <is>
          <t xml:space="preserve">Number theory</t>
        </is>
      </c>
      <c r="H162" s="2" t="inlineStr">
        <is>
          <t xml:space="preserve">Counting / Frequency arrays</t>
        </is>
      </c>
      <c r="I162" s="2" t="inlineStr">
        <is>
          <t xml:space="preserve">Arrays, Loops, Math</t>
        </is>
      </c>
      <c r="J162" s="2" t="inlineStr">
        <is>
          <t xml:space="preserve">Sieve to 500000 and count primes with a multiple inside [k1,k2]</t>
        </is>
      </c>
      <c r="K162" s="2" t="inlineStr">
        <is>
          <t xml:space="preserve"/>
        </is>
      </c>
      <c r="L162" s="9" t="str">
        <f>HYPERLINK("https://arena.olimpiici.com/#/catalog/793/problem/102089","open problem")</f>
        <v>open problem</v>
      </c>
    </row>
    <row r="163">
      <c r="A163" s="2" t="inlineStr">
        <is>
          <t xml:space="preserve">table</t>
        </is>
      </c>
      <c r="B163" s="2" t="inlineStr">
        <is>
          <t xml:space="preserve">NOI - Municipal round</t>
        </is>
      </c>
      <c r="C163" s="8" t="inlineStr">
        <is>
          <t xml:space="preserve">C</t>
        </is>
      </c>
      <c r="D163" s="8">
        <v>2024</v>
      </c>
      <c r="E163" s="6">
        <v>4</v>
      </c>
      <c r="F163" s="2" t="inlineStr">
        <is>
          <t xml:space="preserve">Hard</t>
        </is>
      </c>
      <c r="G163" s="2" t="inlineStr">
        <is>
          <t xml:space="preserve">Math / Formula</t>
        </is>
      </c>
      <c r="H163" s="2" t="inlineStr">
        <is>
          <t xml:space="preserve">Prefix sums</t>
        </is>
      </c>
      <c r="I163" s="2" t="inlineStr">
        <is>
          <t xml:space="preserve">Long long, Math, Modular arithmetic</t>
        </is>
      </c>
      <c r="J163" s="2" t="inlineStr">
        <is>
          <t xml:space="preserve">Sum diagonal rays in closed form; direct simulation over 25 million cells is too slow</t>
        </is>
      </c>
      <c r="K163" s="2" t="inlineStr">
        <is>
          <t xml:space="preserve"/>
        </is>
      </c>
      <c r="L163" s="9" t="str">
        <f>HYPERLINK("https://arena.olimpiici.com/#/catalog/793/problem/102090","open problem")</f>
        <v>open problem</v>
      </c>
    </row>
    <row r="164">
      <c r="A164" s="2" t="inlineStr">
        <is>
          <t xml:space="preserve">three</t>
        </is>
      </c>
      <c r="B164" s="2" t="inlineStr">
        <is>
          <t xml:space="preserve">NOI - Municipal round</t>
        </is>
      </c>
      <c r="C164" s="8" t="inlineStr">
        <is>
          <t xml:space="preserve">C</t>
        </is>
      </c>
      <c r="D164" s="8">
        <v>2025</v>
      </c>
      <c r="E164" s="6">
        <v>4</v>
      </c>
      <c r="F164" s="2" t="inlineStr">
        <is>
          <t xml:space="preserve">Hard</t>
        </is>
      </c>
      <c r="G164" s="2" t="inlineStr">
        <is>
          <t xml:space="preserve">Dynamic programming</t>
        </is>
      </c>
      <c r="H164" s="2" t="inlineStr">
        <is>
          <t xml:space="preserve">Greedy</t>
        </is>
      </c>
      <c r="I164" s="2" t="inlineStr">
        <is>
          <t xml:space="preserve">Arrays, 2D arrays, Long long</t>
        </is>
      </c>
      <c r="J164" s="2" t="inlineStr">
        <is>
          <t xml:space="preserve">Target is S/3 per group: knapsack which balls move to make the sums equal</t>
        </is>
      </c>
      <c r="K164" s="2" t="inlineStr">
        <is>
          <t xml:space="preserve">Динамично програмиране (Dynamic programming)</t>
        </is>
      </c>
      <c r="L164" s="9" t="str">
        <f>HYPERLINK("https://arena.olimpiici.com/#/catalog/844/problem/102259","open problem")</f>
        <v>open problem</v>
      </c>
    </row>
    <row r="165">
      <c r="A165" s="2" t="inlineStr">
        <is>
          <t xml:space="preserve">storage</t>
        </is>
      </c>
      <c r="B165" s="2" t="inlineStr">
        <is>
          <t xml:space="preserve">NOI - Municipal round</t>
        </is>
      </c>
      <c r="C165" s="8" t="inlineStr">
        <is>
          <t xml:space="preserve">C</t>
        </is>
      </c>
      <c r="D165" s="8">
        <v>2025</v>
      </c>
      <c r="E165" s="6">
        <v>4</v>
      </c>
      <c r="F165" s="2" t="inlineStr">
        <is>
          <t xml:space="preserve">Hard</t>
        </is>
      </c>
      <c r="G165" s="2" t="inlineStr">
        <is>
          <t xml:space="preserve">Greedy</t>
        </is>
      </c>
      <c r="H165" s="2" t="inlineStr">
        <is>
          <t xml:space="preserve">Sorting</t>
        </is>
      </c>
      <c r="I165" s="2" t="inlineStr">
        <is>
          <t xml:space="preserve">Sorting, Arrays, Long long</t>
        </is>
      </c>
      <c r="J165" s="2" t="inlineStr">
        <is>
          <t xml:space="preserve">Opening one extra link yields a spare that can fill a later order; order the orders greedily</t>
        </is>
      </c>
      <c r="K165" s="2" t="inlineStr">
        <is>
          <t xml:space="preserve">Сортиране (sorting)</t>
        </is>
      </c>
      <c r="L165" s="9" t="str">
        <f>HYPERLINK("https://arena.olimpiici.com/#/catalog/844/problem/102260","open problem")</f>
        <v>open problem</v>
      </c>
    </row>
    <row r="166">
      <c r="A166" s="2" t="inlineStr">
        <is>
          <t xml:space="preserve">zigzag</t>
        </is>
      </c>
      <c r="B166" s="2" t="inlineStr">
        <is>
          <t xml:space="preserve">NOI - Municipal round</t>
        </is>
      </c>
      <c r="C166" s="8" t="inlineStr">
        <is>
          <t xml:space="preserve">C</t>
        </is>
      </c>
      <c r="D166" s="8">
        <v>2025</v>
      </c>
      <c r="E166" s="5">
        <v>3</v>
      </c>
      <c r="F166" s="2" t="inlineStr">
        <is>
          <t xml:space="preserve">Medium</t>
        </is>
      </c>
      <c r="G166" s="2" t="inlineStr">
        <is>
          <t xml:space="preserve">Implementation / Simulation</t>
        </is>
      </c>
      <c r="H166" s="2" t="inlineStr">
        <is>
          <t xml:space="preserve">Math / Formula</t>
        </is>
      </c>
      <c r="I166" s="2" t="inlineStr">
        <is>
          <t xml:space="preserve">2D arrays, Grid/Matrix, Loops</t>
        </is>
      </c>
      <c r="J166" s="2" t="inlineStr">
        <is>
          <t xml:space="preserve">Simulate both boustrophedon walks and count the steps where they land together</t>
        </is>
      </c>
      <c r="K166" s="2" t="inlineStr">
        <is>
          <t xml:space="preserve"/>
        </is>
      </c>
      <c r="L166" s="9" t="str">
        <f>HYPERLINK("https://arena.olimpiici.com/#/catalog/844/problem/102261","open problem")</f>
        <v>open problem</v>
      </c>
    </row>
    <row r="167">
      <c r="A167" s="2" t="inlineStr">
        <is>
          <t xml:space="preserve">cowboys</t>
        </is>
      </c>
      <c r="B167" s="2" t="inlineStr">
        <is>
          <t xml:space="preserve">NOI - Municipal round</t>
        </is>
      </c>
      <c r="C167" s="8" t="inlineStr">
        <is>
          <t xml:space="preserve">C</t>
        </is>
      </c>
      <c r="D167" s="8">
        <v>2026</v>
      </c>
      <c r="E167" s="5">
        <v>3</v>
      </c>
      <c r="F167" s="2" t="inlineStr">
        <is>
          <t xml:space="preserve">Medium</t>
        </is>
      </c>
      <c r="G167" s="2" t="inlineStr">
        <is>
          <t xml:space="preserve">Greedy</t>
        </is>
      </c>
      <c r="H167" s="2" t="inlineStr">
        <is>
          <t xml:space="preserve">Math / Formula</t>
        </is>
      </c>
      <c r="I167" s="2" t="inlineStr">
        <is>
          <t xml:space="preserve">Math, Long long, Loops</t>
        </is>
      </c>
      <c r="J167" s="2" t="inlineStr">
        <is>
          <t xml:space="preserve">Balance buying at 2 and selling at 1 so all three genre counts become equal</t>
        </is>
      </c>
      <c r="K167" s="2" t="inlineStr">
        <is>
          <t xml:space="preserve"/>
        </is>
      </c>
      <c r="L167" s="9" t="str">
        <f>HYPERLINK("https://arena.olimpiici.com/#/catalog/900/problem/102491","open problem")</f>
        <v>open problem</v>
      </c>
    </row>
    <row r="168">
      <c r="A168" s="2" t="inlineStr">
        <is>
          <t xml:space="preserve">lights</t>
        </is>
      </c>
      <c r="B168" s="2" t="inlineStr">
        <is>
          <t xml:space="preserve">NOI - Municipal round</t>
        </is>
      </c>
      <c r="C168" s="8" t="inlineStr">
        <is>
          <t xml:space="preserve">C</t>
        </is>
      </c>
      <c r="D168" s="8">
        <v>2026</v>
      </c>
      <c r="E168" s="6">
        <v>4</v>
      </c>
      <c r="F168" s="2" t="inlineStr">
        <is>
          <t xml:space="preserve">Hard</t>
        </is>
      </c>
      <c r="G168" s="2" t="inlineStr">
        <is>
          <t xml:space="preserve">Math / Formula</t>
        </is>
      </c>
      <c r="H168" s="2" t="inlineStr">
        <is>
          <t xml:space="preserve">Bit manipulation</t>
        </is>
      </c>
      <c r="I168" s="2" t="inlineStr">
        <is>
          <t xml:space="preserve">Long long, Modular arithmetic, Bitmask</t>
        </is>
      </c>
      <c r="J168" s="2" t="inlineStr">
        <is>
          <t xml:space="preserve">The rule is the Gray-code/Tower-of-Hanoi recurrence; the answer is about 2^n mod p</t>
        </is>
      </c>
      <c r="K168" s="2" t="inlineStr">
        <is>
          <t xml:space="preserve"/>
        </is>
      </c>
      <c r="L168" s="9" t="str">
        <f>HYPERLINK("https://arena.olimpiici.com/#/catalog/900/problem/102492","open problem")</f>
        <v>open problem</v>
      </c>
    </row>
    <row r="169">
      <c r="A169" s="2" t="inlineStr">
        <is>
          <t xml:space="preserve">tail</t>
        </is>
      </c>
      <c r="B169" s="2" t="inlineStr">
        <is>
          <t xml:space="preserve">NOI - Municipal round</t>
        </is>
      </c>
      <c r="C169" s="8" t="inlineStr">
        <is>
          <t xml:space="preserve">C</t>
        </is>
      </c>
      <c r="D169" s="8">
        <v>2026</v>
      </c>
      <c r="E169" s="4">
        <v>2</v>
      </c>
      <c r="F169" s="2" t="inlineStr">
        <is>
          <t xml:space="preserve">Easy</t>
        </is>
      </c>
      <c r="G169" s="2" t="inlineStr">
        <is>
          <t xml:space="preserve">Math / Formula</t>
        </is>
      </c>
      <c r="H169" s="2" t="inlineStr">
        <is>
          <t xml:space="preserve">Counting / Frequency arrays</t>
        </is>
      </c>
      <c r="I169" s="2" t="inlineStr">
        <is>
          <t xml:space="preserve">Long long, Math, Loops</t>
        </is>
      </c>
      <c r="J169" s="2" t="inlineStr">
        <is>
          <t xml:space="preserve">Count multiples of 10, 100 and 1000 in the range and subtract the next level</t>
        </is>
      </c>
      <c r="K169" s="2" t="inlineStr">
        <is>
          <t xml:space="preserve"/>
        </is>
      </c>
      <c r="L169" s="9" t="str">
        <f>HYPERLINK("https://arena.olimpiici.com/#/catalog/900/problem/102493","open problem")</f>
        <v>open problem</v>
      </c>
    </row>
    <row r="170">
      <c r="A170" s="2" t="inlineStr">
        <is>
          <t xml:space="preserve">word</t>
        </is>
      </c>
      <c r="B170" s="2" t="inlineStr">
        <is>
          <t xml:space="preserve">NOI - Municipal round</t>
        </is>
      </c>
      <c r="C170" s="8" t="inlineStr">
        <is>
          <t xml:space="preserve">D</t>
        </is>
      </c>
      <c r="D170" s="8">
        <v>2009</v>
      </c>
      <c r="E170" s="3">
        <v>1</v>
      </c>
      <c r="F170" s="2" t="inlineStr">
        <is>
          <t xml:space="preserve">Very easy</t>
        </is>
      </c>
      <c r="G170" s="2" t="inlineStr">
        <is>
          <t xml:space="preserve">String processing</t>
        </is>
      </c>
      <c r="H170" s="2" t="inlineStr">
        <is>
          <t xml:space="preserve">Math / Formula</t>
        </is>
      </c>
      <c r="I170" s="2" t="inlineStr">
        <is>
          <t xml:space="preserve">Strings, Chars, Long long</t>
        </is>
      </c>
      <c r="J170" s="2" t="inlineStr">
        <is>
          <t xml:space="preserve">Weight each letter by a power of two and test the parity of the sum</t>
        </is>
      </c>
      <c r="K170" s="2" t="inlineStr">
        <is>
          <t xml:space="preserve">Basic / Char</t>
        </is>
      </c>
      <c r="L170" s="9" t="str">
        <f>HYPERLINK("https://arena.olimpiici.com/#/catalog/92/problem/100208","open problem")</f>
        <v>open problem</v>
      </c>
    </row>
    <row r="171">
      <c r="A171" s="2" t="inlineStr">
        <is>
          <t xml:space="preserve">square</t>
        </is>
      </c>
      <c r="B171" s="2" t="inlineStr">
        <is>
          <t xml:space="preserve">NOI - Municipal round</t>
        </is>
      </c>
      <c r="C171" s="8" t="inlineStr">
        <is>
          <t xml:space="preserve">D</t>
        </is>
      </c>
      <c r="D171" s="8">
        <v>2009</v>
      </c>
      <c r="E171" s="4">
        <v>2</v>
      </c>
      <c r="F171" s="2" t="inlineStr">
        <is>
          <t xml:space="preserve">Easy</t>
        </is>
      </c>
      <c r="G171" s="2" t="inlineStr">
        <is>
          <t xml:space="preserve">Number theory</t>
        </is>
      </c>
      <c r="H171" s="2" t="inlineStr">
        <is>
          <t xml:space="preserve">Math / Formula</t>
        </is>
      </c>
      <c r="I171" s="2" t="inlineStr">
        <is>
          <t xml:space="preserve">Long long, Math, Loops</t>
        </is>
      </c>
      <c r="J171" s="2" t="inlineStr">
        <is>
          <t xml:space="preserve">Cutting off the biggest square is the Euclidean algorithm: sum the quotients</t>
        </is>
      </c>
      <c r="K171" s="2" t="inlineStr">
        <is>
          <t xml:space="preserve"/>
        </is>
      </c>
      <c r="L171" s="9" t="str">
        <f>HYPERLINK("https://arena.olimpiici.com/#/catalog/92/problem/100209","open problem")</f>
        <v>open problem</v>
      </c>
    </row>
    <row r="172">
      <c r="A172" s="2" t="inlineStr">
        <is>
          <t xml:space="preserve">princess</t>
        </is>
      </c>
      <c r="B172" s="2" t="inlineStr">
        <is>
          <t xml:space="preserve">NOI - Municipal round</t>
        </is>
      </c>
      <c r="C172" s="8" t="inlineStr">
        <is>
          <t xml:space="preserve">D</t>
        </is>
      </c>
      <c r="D172" s="8">
        <v>2009</v>
      </c>
      <c r="E172" s="4">
        <v>2</v>
      </c>
      <c r="F172" s="2" t="inlineStr">
        <is>
          <t xml:space="preserve">Easy</t>
        </is>
      </c>
      <c r="G172" s="2" t="inlineStr">
        <is>
          <t xml:space="preserve">Math / Formula</t>
        </is>
      </c>
      <c r="H172" s="2" t="inlineStr">
        <is>
          <t xml:space="preserve">Brute force</t>
        </is>
      </c>
      <c r="I172" s="2" t="inlineStr">
        <is>
          <t xml:space="preserve">Math, Loops</t>
        </is>
      </c>
      <c r="J172" s="2" t="inlineStr">
        <is>
          <t xml:space="preserve">Total flowers is a(a+1)/2; find the largest odd share divisible among seven dwarfs</t>
        </is>
      </c>
      <c r="K172" s="2" t="inlineStr">
        <is>
          <t xml:space="preserve"/>
        </is>
      </c>
      <c r="L172" s="9" t="str">
        <f>HYPERLINK("https://arena.olimpiici.com/#/catalog/92/problem/100210","open problem")</f>
        <v>open problem</v>
      </c>
    </row>
    <row r="173">
      <c r="A173" s="2" t="inlineStr">
        <is>
          <t xml:space="preserve">deliteli</t>
        </is>
      </c>
      <c r="B173" s="2" t="inlineStr">
        <is>
          <t xml:space="preserve">NOI - Municipal round</t>
        </is>
      </c>
      <c r="C173" s="8" t="inlineStr">
        <is>
          <t xml:space="preserve">D</t>
        </is>
      </c>
      <c r="D173" s="8">
        <v>2010</v>
      </c>
      <c r="E173" s="4">
        <v>2</v>
      </c>
      <c r="F173" s="2" t="inlineStr">
        <is>
          <t xml:space="preserve">Easy</t>
        </is>
      </c>
      <c r="G173" s="2" t="inlineStr">
        <is>
          <t xml:space="preserve">Number theory</t>
        </is>
      </c>
      <c r="H173" s="2" t="inlineStr">
        <is>
          <t xml:space="preserve">Counting / Frequency arrays</t>
        </is>
      </c>
      <c r="I173" s="2" t="inlineStr">
        <is>
          <t xml:space="preserve">Loops, Math, Arrays</t>
        </is>
      </c>
      <c r="J173" s="2" t="inlineStr">
        <is>
          <t xml:space="preserve">Count divisors of each value by trial division and compare with m</t>
        </is>
      </c>
      <c r="K173" s="2" t="inlineStr">
        <is>
          <t xml:space="preserve"/>
        </is>
      </c>
      <c r="L173" s="9" t="str">
        <f>HYPERLINK("https://arena.olimpiici.com/#/catalog/98/problem/100223","open problem")</f>
        <v>open problem</v>
      </c>
    </row>
    <row r="174">
      <c r="A174" s="2" t="inlineStr">
        <is>
          <t xml:space="preserve">harvest</t>
        </is>
      </c>
      <c r="B174" s="2" t="inlineStr">
        <is>
          <t xml:space="preserve">NOI - Municipal round</t>
        </is>
      </c>
      <c r="C174" s="8" t="inlineStr">
        <is>
          <t xml:space="preserve">D</t>
        </is>
      </c>
      <c r="D174" s="8">
        <v>2010</v>
      </c>
      <c r="E174" s="4">
        <v>2</v>
      </c>
      <c r="F174" s="2" t="inlineStr">
        <is>
          <t xml:space="preserve">Easy</t>
        </is>
      </c>
      <c r="G174" s="2" t="inlineStr">
        <is>
          <t xml:space="preserve">Two pointers / Sliding window</t>
        </is>
      </c>
      <c r="H174" s="2" t="inlineStr">
        <is>
          <t xml:space="preserve">Brute force</t>
        </is>
      </c>
      <c r="I174" s="2" t="inlineStr">
        <is>
          <t xml:space="preserve">Arrays, Loops, Long long</t>
        </is>
      </c>
      <c r="J174" s="2" t="inlineStr">
        <is>
          <t xml:space="preserve">Maximum sum of three consecutive bushes on a circle (wrap the indices)</t>
        </is>
      </c>
      <c r="K174" s="2" t="inlineStr">
        <is>
          <t xml:space="preserve"/>
        </is>
      </c>
      <c r="L174" s="9" t="str">
        <f>HYPERLINK("https://arena.olimpiici.com/#/catalog/98/problem/100224","open problem")</f>
        <v>open problem</v>
      </c>
    </row>
    <row r="175">
      <c r="A175" s="2" t="inlineStr">
        <is>
          <t xml:space="preserve">remote</t>
        </is>
      </c>
      <c r="B175" s="2" t="inlineStr">
        <is>
          <t xml:space="preserve">NOI - Municipal round</t>
        </is>
      </c>
      <c r="C175" s="8" t="inlineStr">
        <is>
          <t xml:space="preserve">D</t>
        </is>
      </c>
      <c r="D175" s="8">
        <v>2010</v>
      </c>
      <c r="E175" s="4">
        <v>2</v>
      </c>
      <c r="F175" s="2" t="inlineStr">
        <is>
          <t xml:space="preserve">Easy</t>
        </is>
      </c>
      <c r="G175" s="2" t="inlineStr">
        <is>
          <t xml:space="preserve">Geometry</t>
        </is>
      </c>
      <c r="H175" s="2" t="inlineStr">
        <is>
          <t xml:space="preserve">Ad hoc / Observation</t>
        </is>
      </c>
      <c r="I175" s="2" t="inlineStr">
        <is>
          <t xml:space="preserve">Loops, Math, Arrays</t>
        </is>
      </c>
      <c r="J175" s="2" t="inlineStr">
        <is>
          <t xml:space="preserve">Keep the smallest |x|+|y| among points lying strictly outside the square</t>
        </is>
      </c>
      <c r="K175" s="2" t="inlineStr">
        <is>
          <t xml:space="preserve"/>
        </is>
      </c>
      <c r="L175" s="9" t="str">
        <f>HYPERLINK("https://arena.olimpiici.com/#/catalog/98/problem/100225","open problem")</f>
        <v>open problem</v>
      </c>
    </row>
    <row r="176">
      <c r="A176" s="2" t="inlineStr">
        <is>
          <t xml:space="preserve">telephone</t>
        </is>
      </c>
      <c r="B176" s="2" t="inlineStr">
        <is>
          <t xml:space="preserve">NOI - Municipal round</t>
        </is>
      </c>
      <c r="C176" s="8" t="inlineStr">
        <is>
          <t xml:space="preserve">D</t>
        </is>
      </c>
      <c r="D176" s="8">
        <v>2011</v>
      </c>
      <c r="E176" s="3">
        <v>1</v>
      </c>
      <c r="F176" s="2" t="inlineStr">
        <is>
          <t xml:space="preserve">Very easy</t>
        </is>
      </c>
      <c r="G176" s="2" t="inlineStr">
        <is>
          <t xml:space="preserve">String processing</t>
        </is>
      </c>
      <c r="H176" s="2" t="inlineStr">
        <is>
          <t xml:space="preserve">Implementation / Simulation</t>
        </is>
      </c>
      <c r="I176" s="2" t="inlineStr">
        <is>
          <t xml:space="preserve">Strings, Chars, Loops</t>
        </is>
      </c>
      <c r="J176" s="2" t="inlineStr">
        <is>
          <t xml:space="preserve">Map each letter to its phone digit, leaving digits and dashes untouched</t>
        </is>
      </c>
      <c r="K176" s="2" t="inlineStr">
        <is>
          <t xml:space="preserve"/>
        </is>
      </c>
      <c r="L176" s="9" t="str">
        <f>HYPERLINK("https://arena.olimpiici.com/#/catalog/104/problem/100238","open problem")</f>
        <v>open problem</v>
      </c>
    </row>
    <row r="177">
      <c r="A177" s="2" t="inlineStr">
        <is>
          <t xml:space="preserve">div</t>
        </is>
      </c>
      <c r="B177" s="2" t="inlineStr">
        <is>
          <t xml:space="preserve">NOI - Municipal round</t>
        </is>
      </c>
      <c r="C177" s="8" t="inlineStr">
        <is>
          <t xml:space="preserve">D</t>
        </is>
      </c>
      <c r="D177" s="8">
        <v>2011</v>
      </c>
      <c r="E177" s="4">
        <v>2</v>
      </c>
      <c r="F177" s="2" t="inlineStr">
        <is>
          <t xml:space="preserve">Easy</t>
        </is>
      </c>
      <c r="G177" s="2" t="inlineStr">
        <is>
          <t xml:space="preserve">Number theory</t>
        </is>
      </c>
      <c r="H177" s="2" t="inlineStr">
        <is>
          <t xml:space="preserve">String processing</t>
        </is>
      </c>
      <c r="I177" s="2" t="inlineStr">
        <is>
          <t xml:space="preserve">Strings, Math, Loops</t>
        </is>
      </c>
      <c r="J177" s="2" t="inlineStr">
        <is>
          <t xml:space="preserve">Divisibility from the last digit (2 and 5) and the digit sum (3)</t>
        </is>
      </c>
      <c r="K177" s="2" t="inlineStr">
        <is>
          <t xml:space="preserve"/>
        </is>
      </c>
      <c r="L177" s="9" t="str">
        <f>HYPERLINK("https://arena.olimpiici.com/#/catalog/104/problem/100239","open problem")</f>
        <v>open problem</v>
      </c>
    </row>
    <row r="178">
      <c r="A178" s="2" t="inlineStr">
        <is>
          <t xml:space="preserve">temperature</t>
        </is>
      </c>
      <c r="B178" s="2" t="inlineStr">
        <is>
          <t xml:space="preserve">NOI - Municipal round</t>
        </is>
      </c>
      <c r="C178" s="8" t="inlineStr">
        <is>
          <t xml:space="preserve">D</t>
        </is>
      </c>
      <c r="D178" s="8">
        <v>2011</v>
      </c>
      <c r="E178" s="4">
        <v>2</v>
      </c>
      <c r="F178" s="2" t="inlineStr">
        <is>
          <t xml:space="preserve">Easy</t>
        </is>
      </c>
      <c r="G178" s="2" t="inlineStr">
        <is>
          <t xml:space="preserve">Counting / Frequency arrays</t>
        </is>
      </c>
      <c r="H178" s="2" t="inlineStr">
        <is>
          <t xml:space="preserve">Ad hoc / Observation</t>
        </is>
      </c>
      <c r="I178" s="2" t="inlineStr">
        <is>
          <t xml:space="preserve">Arrays, Loops, Math</t>
        </is>
      </c>
      <c r="J178" s="2" t="inlineStr">
        <is>
          <t xml:space="preserve">Average each day, then count maximal rising, falling and constant runs</t>
        </is>
      </c>
      <c r="K178" s="2" t="inlineStr">
        <is>
          <t xml:space="preserve"/>
        </is>
      </c>
      <c r="L178" s="9" t="str">
        <f>HYPERLINK("https://arena.olimpiici.com/#/catalog/104/problem/100240","open problem")</f>
        <v>open problem</v>
      </c>
    </row>
    <row r="179">
      <c r="A179" s="2" t="inlineStr">
        <is>
          <t xml:space="preserve">fish_globe</t>
        </is>
      </c>
      <c r="B179" s="2" t="inlineStr">
        <is>
          <t xml:space="preserve">NOI - Municipal round</t>
        </is>
      </c>
      <c r="C179" s="8" t="inlineStr">
        <is>
          <t xml:space="preserve">D</t>
        </is>
      </c>
      <c r="D179" s="8">
        <v>2012</v>
      </c>
      <c r="E179" s="4">
        <v>2</v>
      </c>
      <c r="F179" s="2" t="inlineStr">
        <is>
          <t xml:space="preserve">Easy</t>
        </is>
      </c>
      <c r="G179" s="2" t="inlineStr">
        <is>
          <t xml:space="preserve">Math / Formula</t>
        </is>
      </c>
      <c r="H179" s="2" t="inlineStr">
        <is>
          <t xml:space="preserve">Dynamic programming</t>
        </is>
      </c>
      <c r="I179" s="2" t="inlineStr">
        <is>
          <t xml:space="preserve">Long long, Loops, Math</t>
        </is>
      </c>
      <c r="J179" s="2" t="inlineStr">
        <is>
          <t xml:space="preserve">Fish counts follow a Fibonacci-style recurrence over the days</t>
        </is>
      </c>
      <c r="K179" s="2" t="inlineStr">
        <is>
          <t xml:space="preserve"/>
        </is>
      </c>
      <c r="L179" s="9" t="str">
        <f>HYPERLINK("https://arena.olimpiici.com/#/catalog/110/problem/100253","open problem")</f>
        <v>open problem</v>
      </c>
    </row>
    <row r="180">
      <c r="A180" s="2" t="inlineStr">
        <is>
          <t xml:space="preserve">minipoker</t>
        </is>
      </c>
      <c r="B180" s="2" t="inlineStr">
        <is>
          <t xml:space="preserve">NOI - Municipal round</t>
        </is>
      </c>
      <c r="C180" s="8" t="inlineStr">
        <is>
          <t xml:space="preserve">D</t>
        </is>
      </c>
      <c r="D180" s="8">
        <v>2012</v>
      </c>
      <c r="E180" s="3">
        <v>1</v>
      </c>
      <c r="F180" s="2" t="inlineStr">
        <is>
          <t xml:space="preserve">Very easy</t>
        </is>
      </c>
      <c r="G180" s="2" t="inlineStr">
        <is>
          <t xml:space="preserve">Sorting</t>
        </is>
      </c>
      <c r="H180" s="2" t="inlineStr">
        <is>
          <t xml:space="preserve">Ad hoc / Observation</t>
        </is>
      </c>
      <c r="I180" s="2" t="inlineStr">
        <is>
          <t xml:space="preserve">Arrays, Sorting, Loops</t>
        </is>
      </c>
      <c r="J180" s="2" t="inlineStr">
        <is>
          <t xml:space="preserve">Sort five values and test whether they are consecutive</t>
        </is>
      </c>
      <c r="K180" s="2" t="inlineStr">
        <is>
          <t xml:space="preserve"/>
        </is>
      </c>
      <c r="L180" s="9" t="str">
        <f>HYPERLINK("https://arena.olimpiici.com/#/catalog/110/problem/100254","open problem")</f>
        <v>open problem</v>
      </c>
    </row>
    <row r="181">
      <c r="A181" s="2" t="inlineStr">
        <is>
          <t xml:space="preserve">lottery</t>
        </is>
      </c>
      <c r="B181" s="2" t="inlineStr">
        <is>
          <t xml:space="preserve">NOI - Municipal round</t>
        </is>
      </c>
      <c r="C181" s="8" t="inlineStr">
        <is>
          <t xml:space="preserve">D</t>
        </is>
      </c>
      <c r="D181" s="8">
        <v>2012</v>
      </c>
      <c r="E181" s="4">
        <v>2</v>
      </c>
      <c r="F181" s="2" t="inlineStr">
        <is>
          <t xml:space="preserve">Easy</t>
        </is>
      </c>
      <c r="G181" s="2" t="inlineStr">
        <is>
          <t xml:space="preserve">Counting / Frequency arrays</t>
        </is>
      </c>
      <c r="H181" s="2" t="inlineStr">
        <is>
          <t xml:space="preserve">String processing</t>
        </is>
      </c>
      <c r="I181" s="2" t="inlineStr">
        <is>
          <t xml:space="preserve">Counting array, Strings, Loops</t>
        </is>
      </c>
      <c r="J181" s="2" t="inlineStr">
        <is>
          <t xml:space="preserve">Scan the digits and report the last one that repeats</t>
        </is>
      </c>
      <c r="K181" s="2" t="inlineStr">
        <is>
          <t xml:space="preserve"/>
        </is>
      </c>
      <c r="L181" s="9" t="str">
        <f>HYPERLINK("https://arena.olimpiici.com/#/catalog/110/problem/100255","open problem")</f>
        <v>open problem</v>
      </c>
    </row>
    <row r="182">
      <c r="A182" s="2" t="inlineStr">
        <is>
          <t xml:space="preserve">tailor</t>
        </is>
      </c>
      <c r="B182" s="2" t="inlineStr">
        <is>
          <t xml:space="preserve">NOI - Municipal round</t>
        </is>
      </c>
      <c r="C182" s="8" t="inlineStr">
        <is>
          <t xml:space="preserve">D</t>
        </is>
      </c>
      <c r="D182" s="8">
        <v>2013</v>
      </c>
      <c r="E182" s="4">
        <v>2</v>
      </c>
      <c r="F182" s="2" t="inlineStr">
        <is>
          <t xml:space="preserve">Easy</t>
        </is>
      </c>
      <c r="G182" s="2" t="inlineStr">
        <is>
          <t xml:space="preserve">Math / Formula</t>
        </is>
      </c>
      <c r="H182" s="2" t="inlineStr">
        <is>
          <t xml:space="preserve">Implementation / Simulation</t>
        </is>
      </c>
      <c r="I182" s="2" t="inlineStr">
        <is>
          <t xml:space="preserve">Long long, Math, Loops</t>
        </is>
      </c>
      <c r="J182" s="2" t="inlineStr">
        <is>
          <t xml:space="preserve">Geometric series k(2^n - 1) stotinki, converted to leva and stotinki</t>
        </is>
      </c>
      <c r="K182" s="2" t="inlineStr">
        <is>
          <t xml:space="preserve"/>
        </is>
      </c>
      <c r="L182" s="9" t="str">
        <f>HYPERLINK("https://arena.olimpiici.com/#/catalog/116/problem/100268","open problem")</f>
        <v>open problem</v>
      </c>
    </row>
    <row r="183">
      <c r="A183" s="2" t="inlineStr">
        <is>
          <t xml:space="preserve">orange</t>
        </is>
      </c>
      <c r="B183" s="2" t="inlineStr">
        <is>
          <t xml:space="preserve">NOI - Municipal round</t>
        </is>
      </c>
      <c r="C183" s="8" t="inlineStr">
        <is>
          <t xml:space="preserve">D</t>
        </is>
      </c>
      <c r="D183" s="8">
        <v>2013</v>
      </c>
      <c r="E183" s="4">
        <v>2</v>
      </c>
      <c r="F183" s="2" t="inlineStr">
        <is>
          <t xml:space="preserve">Easy</t>
        </is>
      </c>
      <c r="G183" s="2" t="inlineStr">
        <is>
          <t xml:space="preserve">Number theory</t>
        </is>
      </c>
      <c r="H183" s="2" t="inlineStr">
        <is>
          <t xml:space="preserve">Math / Formula</t>
        </is>
      </c>
      <c r="I183" s="2" t="inlineStr">
        <is>
          <t xml:space="preserve">Math, Long long</t>
        </is>
      </c>
      <c r="J183" s="2" t="inlineStr">
        <is>
          <t xml:space="preserve">Pieces per orange is n/gcd(n,m)</t>
        </is>
      </c>
      <c r="K183" s="2" t="inlineStr">
        <is>
          <t xml:space="preserve">Математика / НОД - Алгоритъм на Евклид</t>
        </is>
      </c>
      <c r="L183" s="9" t="str">
        <f>HYPERLINK("https://arena.olimpiici.com/#/catalog/116/problem/100269","open problem")</f>
        <v>open problem</v>
      </c>
    </row>
    <row r="184">
      <c r="A184" s="2" t="inlineStr">
        <is>
          <t xml:space="preserve">all</t>
        </is>
      </c>
      <c r="B184" s="2" t="inlineStr">
        <is>
          <t xml:space="preserve">NOI - Municipal round</t>
        </is>
      </c>
      <c r="C184" s="8" t="inlineStr">
        <is>
          <t xml:space="preserve">D</t>
        </is>
      </c>
      <c r="D184" s="8">
        <v>2013</v>
      </c>
      <c r="E184" s="4">
        <v>2</v>
      </c>
      <c r="F184" s="2" t="inlineStr">
        <is>
          <t xml:space="preserve">Easy</t>
        </is>
      </c>
      <c r="G184" s="2" t="inlineStr">
        <is>
          <t xml:space="preserve">Counting / Frequency arrays</t>
        </is>
      </c>
      <c r="H184" s="2" t="inlineStr">
        <is>
          <t xml:space="preserve">Hashing / Maps</t>
        </is>
      </c>
      <c r="I184" s="2" t="inlineStr">
        <is>
          <t xml:space="preserve">Counting array, Arrays, I/O parsing</t>
        </is>
      </c>
      <c r="J184" s="2" t="inlineStr">
        <is>
          <t xml:space="preserve">Count appearances per student id and keep those appearing in all N contests</t>
        </is>
      </c>
      <c r="K184" s="2" t="inlineStr">
        <is>
          <t xml:space="preserve">Броене с масив (counting)</t>
        </is>
      </c>
      <c r="L184" s="9" t="str">
        <f>HYPERLINK("https://arena.olimpiici.com/#/catalog/116/problem/100270","open problem")</f>
        <v>open problem</v>
      </c>
    </row>
    <row r="185">
      <c r="A185" s="2" t="inlineStr">
        <is>
          <t xml:space="preserve">cinema</t>
        </is>
      </c>
      <c r="B185" s="2" t="inlineStr">
        <is>
          <t xml:space="preserve">NOI - Municipal round</t>
        </is>
      </c>
      <c r="C185" s="8" t="inlineStr">
        <is>
          <t xml:space="preserve">D</t>
        </is>
      </c>
      <c r="D185" s="8">
        <v>2014</v>
      </c>
      <c r="E185" s="3">
        <v>1</v>
      </c>
      <c r="F185" s="2" t="inlineStr">
        <is>
          <t xml:space="preserve">Very easy</t>
        </is>
      </c>
      <c r="G185" s="2" t="inlineStr">
        <is>
          <t xml:space="preserve">Math / Formula</t>
        </is>
      </c>
      <c r="H185" s="2" t="inlineStr">
        <is>
          <t xml:space="preserve">Grid/Matrix</t>
        </is>
      </c>
      <c r="I185" s="2" t="inlineStr">
        <is>
          <t xml:space="preserve">Math, Grid/Matrix</t>
        </is>
      </c>
      <c r="J185" s="2" t="inlineStr">
        <is>
          <t xml:space="preserve">Row and seat come straight from division and remainder by M</t>
        </is>
      </c>
      <c r="K185" s="2" t="inlineStr">
        <is>
          <t xml:space="preserve"/>
        </is>
      </c>
      <c r="L185" s="9" t="str">
        <f>HYPERLINK("https://arena.olimpiici.com/#/catalog/122/problem/100283","open problem")</f>
        <v>open problem</v>
      </c>
    </row>
    <row r="186">
      <c r="A186" s="2" t="inlineStr">
        <is>
          <t xml:space="preserve">klassir</t>
        </is>
      </c>
      <c r="B186" s="2" t="inlineStr">
        <is>
          <t xml:space="preserve">NOI - Municipal round</t>
        </is>
      </c>
      <c r="C186" s="8" t="inlineStr">
        <is>
          <t xml:space="preserve">D</t>
        </is>
      </c>
      <c r="D186" s="8">
        <v>2014</v>
      </c>
      <c r="E186" s="4">
        <v>2</v>
      </c>
      <c r="F186" s="2" t="inlineStr">
        <is>
          <t xml:space="preserve">Easy</t>
        </is>
      </c>
      <c r="G186" s="2" t="inlineStr">
        <is>
          <t xml:space="preserve">Sorting</t>
        </is>
      </c>
      <c r="H186" s="2" t="inlineStr">
        <is>
          <t xml:space="preserve">Ad hoc / Observation</t>
        </is>
      </c>
      <c r="I186" s="2" t="inlineStr">
        <is>
          <t xml:space="preserve">Sorting, Pairs, Arrays</t>
        </is>
      </c>
      <c r="J186" s="2" t="inlineStr">
        <is>
          <t xml:space="preserve">Time equals finish position minus start number; sort by time then by number</t>
        </is>
      </c>
      <c r="K186" s="2" t="inlineStr">
        <is>
          <t xml:space="preserve">Сортиране (sorting); STL / pair</t>
        </is>
      </c>
      <c r="L186" s="9" t="str">
        <f>HYPERLINK("https://arena.olimpiici.com/#/catalog/122/problem/100284","open problem")</f>
        <v>open problem</v>
      </c>
    </row>
    <row r="187">
      <c r="A187" s="2" t="inlineStr">
        <is>
          <t xml:space="preserve">sheeps</t>
        </is>
      </c>
      <c r="B187" s="2" t="inlineStr">
        <is>
          <t xml:space="preserve">NOI - Municipal round</t>
        </is>
      </c>
      <c r="C187" s="8" t="inlineStr">
        <is>
          <t xml:space="preserve">D</t>
        </is>
      </c>
      <c r="D187" s="8">
        <v>2014</v>
      </c>
      <c r="E187" s="5">
        <v>3</v>
      </c>
      <c r="F187" s="2" t="inlineStr">
        <is>
          <t xml:space="preserve">Medium</t>
        </is>
      </c>
      <c r="G187" s="2" t="inlineStr">
        <is>
          <t xml:space="preserve">Big numbers</t>
        </is>
      </c>
      <c r="H187" s="2" t="inlineStr">
        <is>
          <t xml:space="preserve">Dynamic programming</t>
        </is>
      </c>
      <c r="I187" s="2" t="inlineStr">
        <is>
          <t xml:space="preserve">Big integers, Arrays, Loops</t>
        </is>
      </c>
      <c r="J187" s="2" t="inlineStr">
        <is>
          <t xml:space="preserve">Recurrence a(k)=a(k-1)+a(k-3) grows past 64 bits, so use big numbers</t>
        </is>
      </c>
      <c r="K187" s="2" t="inlineStr">
        <is>
          <t xml:space="preserve"/>
        </is>
      </c>
      <c r="L187" s="9" t="str">
        <f>HYPERLINK("https://arena.olimpiici.com/#/catalog/122/problem/100285","open problem")</f>
        <v>open problem</v>
      </c>
    </row>
    <row r="188">
      <c r="A188" s="2" t="inlineStr">
        <is>
          <t xml:space="preserve">difference</t>
        </is>
      </c>
      <c r="B188" s="2" t="inlineStr">
        <is>
          <t xml:space="preserve">NOI - Municipal round</t>
        </is>
      </c>
      <c r="C188" s="8" t="inlineStr">
        <is>
          <t xml:space="preserve">D</t>
        </is>
      </c>
      <c r="D188" s="8">
        <v>2015</v>
      </c>
      <c r="E188" s="4">
        <v>2</v>
      </c>
      <c r="F188" s="2" t="inlineStr">
        <is>
          <t xml:space="preserve">Easy</t>
        </is>
      </c>
      <c r="G188" s="2" t="inlineStr">
        <is>
          <t xml:space="preserve">Sorting</t>
        </is>
      </c>
      <c r="H188" s="2" t="inlineStr">
        <is>
          <t xml:space="preserve">Math / Formula</t>
        </is>
      </c>
      <c r="I188" s="2" t="inlineStr">
        <is>
          <t xml:space="preserve">Sorting, Long long, Strings</t>
        </is>
      </c>
      <c r="J188" s="2" t="inlineStr">
        <is>
          <t xml:space="preserve">Sort the digits ascending and descending and subtract (fits in 64 bits)</t>
        </is>
      </c>
      <c r="K188" s="2" t="inlineStr">
        <is>
          <t xml:space="preserve"/>
        </is>
      </c>
      <c r="L188" s="9" t="str">
        <f>HYPERLINK("https://arena.olimpiici.com/#/catalog/128/problem/100298","open problem")</f>
        <v>open problem</v>
      </c>
    </row>
    <row r="189">
      <c r="A189" s="2" t="inlineStr">
        <is>
          <t xml:space="preserve">mobile</t>
        </is>
      </c>
      <c r="B189" s="2" t="inlineStr">
        <is>
          <t xml:space="preserve">NOI - Municipal round</t>
        </is>
      </c>
      <c r="C189" s="8" t="inlineStr">
        <is>
          <t xml:space="preserve">D</t>
        </is>
      </c>
      <c r="D189" s="8">
        <v>2015</v>
      </c>
      <c r="E189" s="4">
        <v>2</v>
      </c>
      <c r="F189" s="2" t="inlineStr">
        <is>
          <t xml:space="preserve">Easy</t>
        </is>
      </c>
      <c r="G189" s="2" t="inlineStr">
        <is>
          <t xml:space="preserve">Implementation / Simulation</t>
        </is>
      </c>
      <c r="H189" s="2" t="inlineStr">
        <is>
          <t xml:space="preserve">Math / Formula</t>
        </is>
      </c>
      <c r="I189" s="2" t="inlineStr">
        <is>
          <t xml:space="preserve">Dates, Arrays, Strings</t>
        </is>
      </c>
      <c r="J189" s="2" t="inlineStr">
        <is>
          <t xml:space="preserve">Count days since 1 January 2015 and take the result modulo seven</t>
        </is>
      </c>
      <c r="K189" s="2" t="inlineStr">
        <is>
          <t xml:space="preserve">Basic / Дати и време</t>
        </is>
      </c>
      <c r="L189" s="9" t="str">
        <f>HYPERLINK("https://arena.olimpiici.com/#/catalog/128/problem/100299","open problem")</f>
        <v>open problem</v>
      </c>
    </row>
    <row r="190">
      <c r="A190" s="2" t="inlineStr">
        <is>
          <t xml:space="preserve">gap</t>
        </is>
      </c>
      <c r="B190" s="2" t="inlineStr">
        <is>
          <t xml:space="preserve">NOI - Municipal round</t>
        </is>
      </c>
      <c r="C190" s="8" t="inlineStr">
        <is>
          <t xml:space="preserve">D</t>
        </is>
      </c>
      <c r="D190" s="8">
        <v>2015</v>
      </c>
      <c r="E190" s="4">
        <v>2</v>
      </c>
      <c r="F190" s="2" t="inlineStr">
        <is>
          <t xml:space="preserve">Easy</t>
        </is>
      </c>
      <c r="G190" s="2" t="inlineStr">
        <is>
          <t xml:space="preserve">Sorting</t>
        </is>
      </c>
      <c r="H190" s="2" t="inlineStr">
        <is>
          <t xml:space="preserve">Counting / Frequency arrays</t>
        </is>
      </c>
      <c r="I190" s="2" t="inlineStr">
        <is>
          <t xml:space="preserve">Sorting, Arrays, Counting array</t>
        </is>
      </c>
      <c r="J190" s="2" t="inlineStr">
        <is>
          <t xml:space="preserve">Sort the values and take the largest gap between consecutive distinct ones</t>
        </is>
      </c>
      <c r="K190" s="2" t="inlineStr">
        <is>
          <t xml:space="preserve">Сортиране (sorting)</t>
        </is>
      </c>
      <c r="L190" s="9" t="str">
        <f>HYPERLINK("https://arena.olimpiici.com/#/catalog/128/problem/100300","open problem")</f>
        <v>open problem</v>
      </c>
    </row>
    <row r="191">
      <c r="A191" s="2" t="inlineStr">
        <is>
          <t xml:space="preserve">word</t>
        </is>
      </c>
      <c r="B191" s="2" t="inlineStr">
        <is>
          <t xml:space="preserve">NOI - Municipal round</t>
        </is>
      </c>
      <c r="C191" s="8" t="inlineStr">
        <is>
          <t xml:space="preserve">D</t>
        </is>
      </c>
      <c r="D191" s="8">
        <v>2016</v>
      </c>
      <c r="E191" s="4">
        <v>2</v>
      </c>
      <c r="F191" s="2" t="inlineStr">
        <is>
          <t xml:space="preserve">Easy</t>
        </is>
      </c>
      <c r="G191" s="2" t="inlineStr">
        <is>
          <t xml:space="preserve">Counting / Frequency arrays</t>
        </is>
      </c>
      <c r="H191" s="2" t="inlineStr">
        <is>
          <t xml:space="preserve">Sorting</t>
        </is>
      </c>
      <c r="I191" s="2" t="inlineStr">
        <is>
          <t xml:space="preserve">Counting array, Sorting, Chars</t>
        </is>
      </c>
      <c r="J191" s="2" t="inlineStr">
        <is>
          <t xml:space="preserve">Count letters case-insensitively, then sort by frequency and alphabet</t>
        </is>
      </c>
      <c r="K191" s="2" t="inlineStr">
        <is>
          <t xml:space="preserve">Броене с масив (counting); Сортиране (sorting); STL / pair</t>
        </is>
      </c>
      <c r="L191" s="9" t="str">
        <f>HYPERLINK("https://arena.olimpiici.com/#/catalog/134/problem/100313","open problem")</f>
        <v>open problem</v>
      </c>
    </row>
    <row r="192">
      <c r="A192" s="2" t="inlineStr">
        <is>
          <t xml:space="preserve">paper</t>
        </is>
      </c>
      <c r="B192" s="2" t="inlineStr">
        <is>
          <t xml:space="preserve">NOI - Municipal round</t>
        </is>
      </c>
      <c r="C192" s="8" t="inlineStr">
        <is>
          <t xml:space="preserve">D</t>
        </is>
      </c>
      <c r="D192" s="8">
        <v>2016</v>
      </c>
      <c r="E192" s="5">
        <v>3</v>
      </c>
      <c r="F192" s="2" t="inlineStr">
        <is>
          <t xml:space="preserve">Medium</t>
        </is>
      </c>
      <c r="G192" s="2" t="inlineStr">
        <is>
          <t xml:space="preserve">Math / Formula</t>
        </is>
      </c>
      <c r="H192" s="2" t="inlineStr">
        <is>
          <t xml:space="preserve">Greedy</t>
        </is>
      </c>
      <c r="I192" s="2" t="inlineStr">
        <is>
          <t xml:space="preserve">Math, Loops, Long long</t>
        </is>
      </c>
      <c r="J192" s="2" t="inlineStr">
        <is>
          <t xml:space="preserve">Folding halves a side, so both M and N must be powers of two; sum the exponents</t>
        </is>
      </c>
      <c r="K192" s="2" t="inlineStr">
        <is>
          <t xml:space="preserve"/>
        </is>
      </c>
      <c r="L192" s="9" t="str">
        <f>HYPERLINK("https://arena.olimpiici.com/#/catalog/134/problem/100314","open problem")</f>
        <v>open problem</v>
      </c>
    </row>
    <row r="193">
      <c r="A193" s="2" t="inlineStr">
        <is>
          <t xml:space="preserve">abx</t>
        </is>
      </c>
      <c r="B193" s="2" t="inlineStr">
        <is>
          <t xml:space="preserve">NOI - Municipal round</t>
        </is>
      </c>
      <c r="C193" s="8" t="inlineStr">
        <is>
          <t xml:space="preserve">D</t>
        </is>
      </c>
      <c r="D193" s="8">
        <v>2016</v>
      </c>
      <c r="E193" s="4">
        <v>2</v>
      </c>
      <c r="F193" s="2" t="inlineStr">
        <is>
          <t xml:space="preserve">Easy</t>
        </is>
      </c>
      <c r="G193" s="2" t="inlineStr">
        <is>
          <t xml:space="preserve">String processing</t>
        </is>
      </c>
      <c r="H193" s="2" t="inlineStr">
        <is>
          <t xml:space="preserve">Math / Formula</t>
        </is>
      </c>
      <c r="I193" s="2" t="inlineStr">
        <is>
          <t xml:space="preserve">Strings, I/O parsing, Math</t>
        </is>
      </c>
      <c r="J193" s="2" t="inlineStr">
        <is>
          <t xml:space="preserve">Parse the equation and subtract the known addend from B</t>
        </is>
      </c>
      <c r="K193" s="2" t="inlineStr">
        <is>
          <t xml:space="preserve"/>
        </is>
      </c>
      <c r="L193" s="9" t="str">
        <f>HYPERLINK("https://arena.olimpiici.com/#/catalog/134/problem/100315","open problem")</f>
        <v>open problem</v>
      </c>
    </row>
    <row r="194">
      <c r="A194" s="2" t="inlineStr">
        <is>
          <t xml:space="preserve">number</t>
        </is>
      </c>
      <c r="B194" s="2" t="inlineStr">
        <is>
          <t xml:space="preserve">NOI - Municipal round</t>
        </is>
      </c>
      <c r="C194" s="8" t="inlineStr">
        <is>
          <t xml:space="preserve">D</t>
        </is>
      </c>
      <c r="D194" s="8">
        <v>2017</v>
      </c>
      <c r="E194" s="4">
        <v>2</v>
      </c>
      <c r="F194" s="2" t="inlineStr">
        <is>
          <t xml:space="preserve">Easy</t>
        </is>
      </c>
      <c r="G194" s="2" t="inlineStr">
        <is>
          <t xml:space="preserve">Number theory</t>
        </is>
      </c>
      <c r="H194" s="2" t="inlineStr">
        <is>
          <t xml:space="preserve">Math / Formula</t>
        </is>
      </c>
      <c r="I194" s="2" t="inlineStr">
        <is>
          <t xml:space="preserve">Long long, Math, Loops</t>
        </is>
      </c>
      <c r="J194" s="2" t="inlineStr">
        <is>
          <t xml:space="preserve">Numbers of the form y(y+1): count the y values whose product falls in [M,N]</t>
        </is>
      </c>
      <c r="K194" s="2" t="inlineStr">
        <is>
          <t xml:space="preserve"/>
        </is>
      </c>
      <c r="L194" s="9" t="str">
        <f>HYPERLINK("https://arena.olimpiici.com/#/catalog/140/problem/100328","open problem")</f>
        <v>open problem</v>
      </c>
    </row>
    <row r="195">
      <c r="A195" s="2" t="inlineStr">
        <is>
          <t xml:space="preserve">klas</t>
        </is>
      </c>
      <c r="B195" s="2" t="inlineStr">
        <is>
          <t xml:space="preserve">NOI - Municipal round</t>
        </is>
      </c>
      <c r="C195" s="8" t="inlineStr">
        <is>
          <t xml:space="preserve">D</t>
        </is>
      </c>
      <c r="D195" s="8">
        <v>2017</v>
      </c>
      <c r="E195" s="4">
        <v>2</v>
      </c>
      <c r="F195" s="2" t="inlineStr">
        <is>
          <t xml:space="preserve">Easy</t>
        </is>
      </c>
      <c r="G195" s="2" t="inlineStr">
        <is>
          <t xml:space="preserve">Math / Formula</t>
        </is>
      </c>
      <c r="H195" s="2" t="inlineStr">
        <is>
          <t xml:space="preserve">Combinatorics</t>
        </is>
      </c>
      <c r="I195" s="2" t="inlineStr">
        <is>
          <t xml:space="preserve">Long long, Math</t>
        </is>
      </c>
      <c r="J195" s="2" t="inlineStr">
        <is>
          <t xml:space="preserve">Handshakes are N(N-1)/2 and greetings follow a closed formula in N and M</t>
        </is>
      </c>
      <c r="K195" s="2" t="inlineStr">
        <is>
          <t xml:space="preserve"/>
        </is>
      </c>
      <c r="L195" s="9" t="str">
        <f>HYPERLINK("https://arena.olimpiici.com/#/catalog/140/problem/100329","open problem")</f>
        <v>open problem</v>
      </c>
    </row>
    <row r="196">
      <c r="A196" s="2" t="inlineStr">
        <is>
          <t xml:space="preserve">circles</t>
        </is>
      </c>
      <c r="B196" s="2" t="inlineStr">
        <is>
          <t xml:space="preserve">NOI - Municipal round</t>
        </is>
      </c>
      <c r="C196" s="8" t="inlineStr">
        <is>
          <t xml:space="preserve">D</t>
        </is>
      </c>
      <c r="D196" s="8">
        <v>2017</v>
      </c>
      <c r="E196" s="4">
        <v>2</v>
      </c>
      <c r="F196" s="2" t="inlineStr">
        <is>
          <t xml:space="preserve">Easy</t>
        </is>
      </c>
      <c r="G196" s="2" t="inlineStr">
        <is>
          <t xml:space="preserve">String processing</t>
        </is>
      </c>
      <c r="H196" s="2" t="inlineStr">
        <is>
          <t xml:space="preserve">Math / Formula</t>
        </is>
      </c>
      <c r="I196" s="2" t="inlineStr">
        <is>
          <t xml:space="preserve">Strings, Long long, Chars</t>
        </is>
      </c>
      <c r="J196" s="2" t="inlineStr">
        <is>
          <t xml:space="preserve">Compute the result, then count the loops contributed by each digit</t>
        </is>
      </c>
      <c r="K196" s="2" t="inlineStr">
        <is>
          <t xml:space="preserve">Математика / Отделяне на цифри от число</t>
        </is>
      </c>
      <c r="L196" s="9" t="str">
        <f>HYPERLINK("https://arena.olimpiici.com/#/catalog/140/problem/100330","open problem")</f>
        <v>open problem</v>
      </c>
    </row>
    <row r="197">
      <c r="A197" s="2" t="inlineStr">
        <is>
          <t xml:space="preserve">bact</t>
        </is>
      </c>
      <c r="B197" s="2" t="inlineStr">
        <is>
          <t xml:space="preserve">NOI - Municipal round</t>
        </is>
      </c>
      <c r="C197" s="8" t="inlineStr">
        <is>
          <t xml:space="preserve">D</t>
        </is>
      </c>
      <c r="D197" s="8">
        <v>2018</v>
      </c>
      <c r="E197" s="5">
        <v>3</v>
      </c>
      <c r="F197" s="2" t="inlineStr">
        <is>
          <t xml:space="preserve">Medium</t>
        </is>
      </c>
      <c r="G197" s="2" t="inlineStr">
        <is>
          <t xml:space="preserve">Math / Formula</t>
        </is>
      </c>
      <c r="H197" s="2" t="inlineStr">
        <is>
          <t xml:space="preserve">Implementation / Simulation</t>
        </is>
      </c>
      <c r="I197" s="2" t="inlineStr">
        <is>
          <t xml:space="preserve">Long long, Loops, Math</t>
        </is>
      </c>
      <c r="J197" s="2" t="inlineStr">
        <is>
          <t xml:space="preserve">The count reaches a fixed point quickly, so K up to 10^18 needs cycle detection</t>
        </is>
      </c>
      <c r="K197" s="2" t="inlineStr">
        <is>
          <t xml:space="preserve">Математика</t>
        </is>
      </c>
      <c r="L197" s="9" t="str">
        <f>HYPERLINK("https://arena.olimpiici.com/#/catalog/146/problem/100343","open problem")</f>
        <v>open problem</v>
      </c>
    </row>
    <row r="198">
      <c r="A198" s="2" t="inlineStr">
        <is>
          <t xml:space="preserve">kub</t>
        </is>
      </c>
      <c r="B198" s="2" t="inlineStr">
        <is>
          <t xml:space="preserve">NOI - Municipal round</t>
        </is>
      </c>
      <c r="C198" s="8" t="inlineStr">
        <is>
          <t xml:space="preserve">D</t>
        </is>
      </c>
      <c r="D198" s="8">
        <v>2018</v>
      </c>
      <c r="E198" s="4">
        <v>2</v>
      </c>
      <c r="F198" s="2" t="inlineStr">
        <is>
          <t xml:space="preserve">Easy</t>
        </is>
      </c>
      <c r="G198" s="2" t="inlineStr">
        <is>
          <t xml:space="preserve">Math / Formula</t>
        </is>
      </c>
      <c r="H198" s="2" t="inlineStr">
        <is>
          <t xml:space="preserve">Combinatorics</t>
        </is>
      </c>
      <c r="I198" s="2" t="inlineStr">
        <is>
          <t xml:space="preserve">Long long, Math, Loops</t>
        </is>
      </c>
      <c r="J198" s="2" t="inlineStr">
        <is>
          <t xml:space="preserve">Closed-form counts for corner, edge, face and interior unit cubes</t>
        </is>
      </c>
      <c r="K198" s="2" t="inlineStr">
        <is>
          <t xml:space="preserve"/>
        </is>
      </c>
      <c r="L198" s="9" t="str">
        <f>HYPERLINK("https://arena.olimpiici.com/#/catalog/146/problem/100344","open problem")</f>
        <v>open problem</v>
      </c>
    </row>
    <row r="199">
      <c r="A199" s="2" t="inlineStr">
        <is>
          <t xml:space="preserve">red</t>
        </is>
      </c>
      <c r="B199" s="2" t="inlineStr">
        <is>
          <t xml:space="preserve">NOI - Municipal round</t>
        </is>
      </c>
      <c r="C199" s="8" t="inlineStr">
        <is>
          <t xml:space="preserve">D</t>
        </is>
      </c>
      <c r="D199" s="8">
        <v>2018</v>
      </c>
      <c r="E199" s="5">
        <v>3</v>
      </c>
      <c r="F199" s="2" t="inlineStr">
        <is>
          <t xml:space="preserve">Medium</t>
        </is>
      </c>
      <c r="G199" s="2" t="inlineStr">
        <is>
          <t xml:space="preserve">Counting / Frequency arrays</t>
        </is>
      </c>
      <c r="H199" s="2" t="inlineStr">
        <is>
          <t xml:space="preserve">Prefix sums</t>
        </is>
      </c>
      <c r="I199" s="2" t="inlineStr">
        <is>
          <t xml:space="preserve">Counting array, Arrays, Loops</t>
        </is>
      </c>
      <c r="J199" s="2" t="inlineStr">
        <is>
          <t xml:space="preserve">Precompute how many equal values lie before and after each index</t>
        </is>
      </c>
      <c r="K199" s="2" t="inlineStr">
        <is>
          <t xml:space="preserve">Броене с масив (counting)</t>
        </is>
      </c>
      <c r="L199" s="9" t="str">
        <f>HYPERLINK("https://arena.olimpiici.com/#/catalog/146/problem/100345","open problem")</f>
        <v>open problem</v>
      </c>
    </row>
    <row r="200">
      <c r="A200" s="2" t="inlineStr">
        <is>
          <t xml:space="preserve">postagestamps</t>
        </is>
      </c>
      <c r="B200" s="2" t="inlineStr">
        <is>
          <t xml:space="preserve">NOI - Municipal round</t>
        </is>
      </c>
      <c r="C200" s="8" t="inlineStr">
        <is>
          <t xml:space="preserve">D</t>
        </is>
      </c>
      <c r="D200" s="8">
        <v>2019</v>
      </c>
      <c r="E200" s="5">
        <v>3</v>
      </c>
      <c r="F200" s="2" t="inlineStr">
        <is>
          <t xml:space="preserve">Medium</t>
        </is>
      </c>
      <c r="G200" s="2" t="inlineStr">
        <is>
          <t xml:space="preserve">Counting / Frequency arrays</t>
        </is>
      </c>
      <c r="H200" s="2" t="inlineStr">
        <is>
          <t xml:space="preserve">Math / Formula</t>
        </is>
      </c>
      <c r="I200" s="2" t="inlineStr">
        <is>
          <t xml:space="preserve">Counting array, Math, Loops</t>
        </is>
      </c>
      <c r="J200" s="2" t="inlineStr">
        <is>
          <t xml:space="preserve">Pages per denomination by ceiling division, then albums by ceiling again</t>
        </is>
      </c>
      <c r="K200" s="2" t="inlineStr">
        <is>
          <t xml:space="preserve"/>
        </is>
      </c>
      <c r="L200" s="9" t="str">
        <f>HYPERLINK("https://arena.olimpiici.com/#/catalog/382/problem/101043","open problem")</f>
        <v>open problem</v>
      </c>
    </row>
    <row r="201">
      <c r="A201" s="2" t="inlineStr">
        <is>
          <t xml:space="preserve">triangle</t>
        </is>
      </c>
      <c r="B201" s="2" t="inlineStr">
        <is>
          <t xml:space="preserve">NOI - Municipal round</t>
        </is>
      </c>
      <c r="C201" s="8" t="inlineStr">
        <is>
          <t xml:space="preserve">D</t>
        </is>
      </c>
      <c r="D201" s="8">
        <v>2019</v>
      </c>
      <c r="E201" s="4">
        <v>2</v>
      </c>
      <c r="F201" s="2" t="inlineStr">
        <is>
          <t xml:space="preserve">Easy</t>
        </is>
      </c>
      <c r="G201" s="2" t="inlineStr">
        <is>
          <t xml:space="preserve">Math / Formula</t>
        </is>
      </c>
      <c r="H201" s="2" t="inlineStr">
        <is>
          <t xml:space="preserve">Geometry</t>
        </is>
      </c>
      <c r="I201" s="2" t="inlineStr">
        <is>
          <t xml:space="preserve">Long long, Math</t>
        </is>
      </c>
      <c r="J201" s="2" t="inlineStr">
        <is>
          <t xml:space="preserve">Triangle inequality allows c in (|a-b|, a+b): count the integers there</t>
        </is>
      </c>
      <c r="K201" s="2" t="inlineStr">
        <is>
          <t xml:space="preserve">Математика</t>
        </is>
      </c>
      <c r="L201" s="9" t="str">
        <f>HYPERLINK("https://arena.olimpiici.com/#/catalog/382/problem/101044","open problem")</f>
        <v>open problem</v>
      </c>
    </row>
    <row r="202">
      <c r="A202" s="2" t="inlineStr">
        <is>
          <t xml:space="preserve">odd</t>
        </is>
      </c>
      <c r="B202" s="2" t="inlineStr">
        <is>
          <t xml:space="preserve">NOI - Municipal round</t>
        </is>
      </c>
      <c r="C202" s="8" t="inlineStr">
        <is>
          <t xml:space="preserve">D</t>
        </is>
      </c>
      <c r="D202" s="8">
        <v>2019</v>
      </c>
      <c r="E202" s="5">
        <v>3</v>
      </c>
      <c r="F202" s="2" t="inlineStr">
        <is>
          <t xml:space="preserve">Medium</t>
        </is>
      </c>
      <c r="G202" s="2" t="inlineStr">
        <is>
          <t xml:space="preserve">Number theory</t>
        </is>
      </c>
      <c r="H202" s="2" t="inlineStr">
        <is>
          <t xml:space="preserve">Math / Formula</t>
        </is>
      </c>
      <c r="I202" s="2" t="inlineStr">
        <is>
          <t xml:space="preserve">Math, Strings, Loops</t>
        </is>
      </c>
      <c r="J202" s="2" t="inlineStr">
        <is>
          <t xml:space="preserve">Write n in base 5 and map digits 0..4 to 1,3,5,7,9</t>
        </is>
      </c>
      <c r="K202" s="2" t="inlineStr">
        <is>
          <t xml:space="preserve">Математика / Отделяне на цифри от число</t>
        </is>
      </c>
      <c r="L202" s="9" t="str">
        <f>HYPERLINK("https://arena.olimpiici.com/#/catalog/382/problem/101045","open problem")</f>
        <v>open problem</v>
      </c>
    </row>
    <row r="203">
      <c r="A203" s="2" t="inlineStr">
        <is>
          <t xml:space="preserve">int</t>
        </is>
      </c>
      <c r="B203" s="2" t="inlineStr">
        <is>
          <t xml:space="preserve">NOI - Municipal round</t>
        </is>
      </c>
      <c r="C203" s="8" t="inlineStr">
        <is>
          <t xml:space="preserve">D</t>
        </is>
      </c>
      <c r="D203" s="8">
        <v>2020</v>
      </c>
      <c r="E203" s="4">
        <v>2</v>
      </c>
      <c r="F203" s="2" t="inlineStr">
        <is>
          <t xml:space="preserve">Easy</t>
        </is>
      </c>
      <c r="G203" s="2" t="inlineStr">
        <is>
          <t xml:space="preserve">Brute force</t>
        </is>
      </c>
      <c r="H203" s="2" t="inlineStr">
        <is>
          <t xml:space="preserve">Number theory</t>
        </is>
      </c>
      <c r="I203" s="2" t="inlineStr">
        <is>
          <t xml:space="preserve">Loops, Math, Long long</t>
        </is>
      </c>
      <c r="J203" s="2" t="inlineStr">
        <is>
          <t xml:space="preserve">The range holds at most 100001 numbers: test each against its digit product</t>
        </is>
      </c>
      <c r="K203" s="2" t="inlineStr">
        <is>
          <t xml:space="preserve"/>
        </is>
      </c>
      <c r="L203" s="9" t="str">
        <f>HYPERLINK("https://arena.olimpiici.com/#/catalog/555/problem/101366","open problem")</f>
        <v>open problem</v>
      </c>
    </row>
    <row r="204">
      <c r="A204" s="2" t="inlineStr">
        <is>
          <t xml:space="preserve">seg</t>
        </is>
      </c>
      <c r="B204" s="2" t="inlineStr">
        <is>
          <t xml:space="preserve">NOI - Municipal round</t>
        </is>
      </c>
      <c r="C204" s="8" t="inlineStr">
        <is>
          <t xml:space="preserve">D</t>
        </is>
      </c>
      <c r="D204" s="8">
        <v>2020</v>
      </c>
      <c r="E204" s="4">
        <v>2</v>
      </c>
      <c r="F204" s="2" t="inlineStr">
        <is>
          <t xml:space="preserve">Easy</t>
        </is>
      </c>
      <c r="G204" s="2" t="inlineStr">
        <is>
          <t xml:space="preserve">Sorting</t>
        </is>
      </c>
      <c r="H204" s="2" t="inlineStr">
        <is>
          <t xml:space="preserve">Brute force</t>
        </is>
      </c>
      <c r="I204" s="2" t="inlineStr">
        <is>
          <t xml:space="preserve">Sorting, Arrays, Nested loops</t>
        </is>
      </c>
      <c r="J204" s="2" t="inlineStr">
        <is>
          <t xml:space="preserve">For each segment count the others overlapping it (n&lt;1000 allows O(n^2))</t>
        </is>
      </c>
      <c r="K204" s="2" t="inlineStr">
        <is>
          <t xml:space="preserve"/>
        </is>
      </c>
      <c r="L204" s="9" t="str">
        <f>HYPERLINK("https://arena.olimpiici.com/#/catalog/555/problem/101367","open problem")</f>
        <v>open problem</v>
      </c>
    </row>
    <row r="205">
      <c r="A205" s="2" t="inlineStr">
        <is>
          <t xml:space="preserve">sum</t>
        </is>
      </c>
      <c r="B205" s="2" t="inlineStr">
        <is>
          <t xml:space="preserve">NOI - Municipal round</t>
        </is>
      </c>
      <c r="C205" s="8" t="inlineStr">
        <is>
          <t xml:space="preserve">D</t>
        </is>
      </c>
      <c r="D205" s="8">
        <v>2020</v>
      </c>
      <c r="E205" s="5">
        <v>3</v>
      </c>
      <c r="F205" s="2" t="inlineStr">
        <is>
          <t xml:space="preserve">Medium</t>
        </is>
      </c>
      <c r="G205" s="2" t="inlineStr">
        <is>
          <t xml:space="preserve">Brute force</t>
        </is>
      </c>
      <c r="H205" s="2" t="inlineStr">
        <is>
          <t xml:space="preserve">Combinatorics</t>
        </is>
      </c>
      <c r="I205" s="2" t="inlineStr">
        <is>
          <t xml:space="preserve">Loops, Long long, Math</t>
        </is>
      </c>
      <c r="J205" s="2" t="inlineStr">
        <is>
          <t xml:space="preserve">Nested loops over A&lt;=B&lt;=C with D determined; X&lt;=1500 keeps it fast</t>
        </is>
      </c>
      <c r="K205" s="2" t="inlineStr">
        <is>
          <t xml:space="preserve"/>
        </is>
      </c>
      <c r="L205" s="9" t="str">
        <f>HYPERLINK("https://arena.olimpiici.com/#/catalog/555/problem/101368","open problem")</f>
        <v>open problem</v>
      </c>
    </row>
    <row r="206">
      <c r="A206" s="2" t="inlineStr">
        <is>
          <t xml:space="preserve">wheel</t>
        </is>
      </c>
      <c r="B206" s="2" t="inlineStr">
        <is>
          <t xml:space="preserve">NOI - Municipal round</t>
        </is>
      </c>
      <c r="C206" s="8" t="inlineStr">
        <is>
          <t xml:space="preserve">D</t>
        </is>
      </c>
      <c r="D206" s="8">
        <v>2021</v>
      </c>
      <c r="E206" s="5">
        <v>3</v>
      </c>
      <c r="F206" s="2" t="inlineStr">
        <is>
          <t xml:space="preserve">Medium</t>
        </is>
      </c>
      <c r="G206" s="2" t="inlineStr">
        <is>
          <t xml:space="preserve">Implementation / Simulation</t>
        </is>
      </c>
      <c r="H206" s="2" t="inlineStr">
        <is>
          <t xml:space="preserve">Constructive</t>
        </is>
      </c>
      <c r="I206" s="2" t="inlineStr">
        <is>
          <t xml:space="preserve">Arrays, Strings, Math</t>
        </is>
      </c>
      <c r="J206" s="2" t="inlineStr">
        <is>
          <t xml:space="preserve">Each spin gives a position modulo N: place the observed letters accordingly</t>
        </is>
      </c>
      <c r="K206" s="2" t="inlineStr">
        <is>
          <t xml:space="preserve"/>
        </is>
      </c>
      <c r="L206" s="9" t="str">
        <f>HYPERLINK("https://arena.olimpiici.com/#/catalog/627/problem/101575","open problem")</f>
        <v>open problem</v>
      </c>
    </row>
    <row r="207">
      <c r="A207" s="2" t="inlineStr">
        <is>
          <t xml:space="preserve">squares</t>
        </is>
      </c>
      <c r="B207" s="2" t="inlineStr">
        <is>
          <t xml:space="preserve">NOI - Municipal round</t>
        </is>
      </c>
      <c r="C207" s="8" t="inlineStr">
        <is>
          <t xml:space="preserve">D</t>
        </is>
      </c>
      <c r="D207" s="8">
        <v>2021</v>
      </c>
      <c r="E207" s="5">
        <v>3</v>
      </c>
      <c r="F207" s="2" t="inlineStr">
        <is>
          <t xml:space="preserve">Medium</t>
        </is>
      </c>
      <c r="G207" s="2" t="inlineStr">
        <is>
          <t xml:space="preserve">Number theory</t>
        </is>
      </c>
      <c r="H207" s="2" t="inlineStr">
        <is>
          <t xml:space="preserve">Hashing / Maps</t>
        </is>
      </c>
      <c r="I207" s="2" t="inlineStr">
        <is>
          <t xml:space="preserve">Sets, Loops, Math</t>
        </is>
      </c>
      <c r="J207" s="2" t="inlineStr">
        <is>
          <t xml:space="preserve">For each value test i*i + j*j by looping i up to sqrt and checking the remainder</t>
        </is>
      </c>
      <c r="K207" s="2" t="inlineStr">
        <is>
          <t xml:space="preserve"/>
        </is>
      </c>
      <c r="L207" s="9" t="str">
        <f>HYPERLINK("https://arena.olimpiici.com/#/catalog/627/problem/101577","open problem")</f>
        <v>open problem</v>
      </c>
    </row>
    <row r="208">
      <c r="A208" s="2" t="inlineStr">
        <is>
          <t xml:space="preserve">relef</t>
        </is>
      </c>
      <c r="B208" s="2" t="inlineStr">
        <is>
          <t xml:space="preserve">NOI - Municipal round</t>
        </is>
      </c>
      <c r="C208" s="8" t="inlineStr">
        <is>
          <t xml:space="preserve">D</t>
        </is>
      </c>
      <c r="D208" s="8">
        <v>2021</v>
      </c>
      <c r="E208" s="5">
        <v>3</v>
      </c>
      <c r="F208" s="2" t="inlineStr">
        <is>
          <t xml:space="preserve">Medium</t>
        </is>
      </c>
      <c r="G208" s="2" t="inlineStr">
        <is>
          <t xml:space="preserve">Prefix sums</t>
        </is>
      </c>
      <c r="H208" s="2" t="inlineStr">
        <is>
          <t xml:space="preserve">Constructive</t>
        </is>
      </c>
      <c r="I208" s="2" t="inlineStr">
        <is>
          <t xml:space="preserve">Arrays, Strings, Loops</t>
        </is>
      </c>
      <c r="J208" s="2" t="inlineStr">
        <is>
          <t xml:space="preserve">Heights are prefix sums of +-1; shift so the minimum becomes zero</t>
        </is>
      </c>
      <c r="K208" s="2" t="inlineStr">
        <is>
          <t xml:space="preserve"/>
        </is>
      </c>
      <c r="L208" s="9" t="str">
        <f>HYPERLINK("https://arena.olimpiici.com/#/catalog/627/problem/101578","open problem")</f>
        <v>open problem</v>
      </c>
    </row>
    <row r="209">
      <c r="A209" s="2" t="inlineStr">
        <is>
          <t xml:space="preserve">lokmax</t>
        </is>
      </c>
      <c r="B209" s="2" t="inlineStr">
        <is>
          <t xml:space="preserve">NOI - Municipal round</t>
        </is>
      </c>
      <c r="C209" s="8" t="inlineStr">
        <is>
          <t xml:space="preserve">D</t>
        </is>
      </c>
      <c r="D209" s="8">
        <v>2022</v>
      </c>
      <c r="E209" s="4">
        <v>2</v>
      </c>
      <c r="F209" s="2" t="inlineStr">
        <is>
          <t xml:space="preserve">Easy</t>
        </is>
      </c>
      <c r="G209" s="2" t="inlineStr">
        <is>
          <t xml:space="preserve">Ad hoc / Observation</t>
        </is>
      </c>
      <c r="H209" s="2" t="inlineStr">
        <is>
          <t xml:space="preserve">Counting / Frequency arrays</t>
        </is>
      </c>
      <c r="I209" s="2" t="inlineStr">
        <is>
          <t xml:space="preserve">Arrays, Loops, Math</t>
        </is>
      </c>
      <c r="J209" s="2" t="inlineStr">
        <is>
          <t xml:space="preserve">Find local maxima in one pass and track the smallest gap between neighbours</t>
        </is>
      </c>
      <c r="K209" s="2" t="inlineStr">
        <is>
          <t xml:space="preserve"/>
        </is>
      </c>
      <c r="L209" s="9" t="str">
        <f>HYPERLINK("https://arena.olimpiici.com/#/catalog/652/problem/101637","open problem")</f>
        <v>open problem</v>
      </c>
    </row>
    <row r="210">
      <c r="A210" s="2" t="inlineStr">
        <is>
          <t xml:space="preserve">skip</t>
        </is>
      </c>
      <c r="B210" s="2" t="inlineStr">
        <is>
          <t xml:space="preserve">NOI - Municipal round</t>
        </is>
      </c>
      <c r="C210" s="8" t="inlineStr">
        <is>
          <t xml:space="preserve">D</t>
        </is>
      </c>
      <c r="D210" s="8">
        <v>2022</v>
      </c>
      <c r="E210" s="5">
        <v>3</v>
      </c>
      <c r="F210" s="2" t="inlineStr">
        <is>
          <t xml:space="preserve">Medium</t>
        </is>
      </c>
      <c r="G210" s="2" t="inlineStr">
        <is>
          <t xml:space="preserve">Implementation / Simulation</t>
        </is>
      </c>
      <c r="H210" s="2" t="inlineStr">
        <is>
          <t xml:space="preserve">Counting / Frequency arrays</t>
        </is>
      </c>
      <c r="I210" s="2" t="inlineStr">
        <is>
          <t xml:space="preserve">Vectors, Arrays, Loops</t>
        </is>
      </c>
      <c r="J210" s="2" t="inlineStr">
        <is>
          <t xml:space="preserve">Lucky-number style sieve: repeatedly keep every k-th survivor</t>
        </is>
      </c>
      <c r="K210" s="2" t="inlineStr">
        <is>
          <t xml:space="preserve"/>
        </is>
      </c>
      <c r="L210" s="9" t="str">
        <f>HYPERLINK("https://arena.olimpiici.com/#/catalog/652/problem/101638","open problem")</f>
        <v>open problem</v>
      </c>
    </row>
    <row r="211">
      <c r="A211" s="2" t="inlineStr">
        <is>
          <t xml:space="preserve">equation</t>
        </is>
      </c>
      <c r="B211" s="2" t="inlineStr">
        <is>
          <t xml:space="preserve">NOI - Municipal round</t>
        </is>
      </c>
      <c r="C211" s="8" t="inlineStr">
        <is>
          <t xml:space="preserve">D</t>
        </is>
      </c>
      <c r="D211" s="8">
        <v>2022</v>
      </c>
      <c r="E211" s="5">
        <v>3</v>
      </c>
      <c r="F211" s="2" t="inlineStr">
        <is>
          <t xml:space="preserve">Medium</t>
        </is>
      </c>
      <c r="G211" s="2" t="inlineStr">
        <is>
          <t xml:space="preserve">Number theory</t>
        </is>
      </c>
      <c r="H211" s="2" t="inlineStr">
        <is>
          <t xml:space="preserve">Counting / Frequency arrays</t>
        </is>
      </c>
      <c r="I211" s="2" t="inlineStr">
        <is>
          <t xml:space="preserve">Counting array, Loops, Math</t>
        </is>
      </c>
      <c r="J211" s="2" t="inlineStr">
        <is>
          <t xml:space="preserve">Mark every xa+yb up to L with x,y&gt;=1 and count the unmarked values</t>
        </is>
      </c>
      <c r="K211" s="2" t="inlineStr">
        <is>
          <t xml:space="preserve"/>
        </is>
      </c>
      <c r="L211" s="9" t="str">
        <f>HYPERLINK("https://arena.olimpiici.com/#/catalog/652/problem/101639","open problem")</f>
        <v>open problem</v>
      </c>
    </row>
    <row r="212">
      <c r="A212" s="2" t="inlineStr">
        <is>
          <t xml:space="preserve">squares</t>
        </is>
      </c>
      <c r="B212" s="2" t="inlineStr">
        <is>
          <t xml:space="preserve">NOI - Municipal round</t>
        </is>
      </c>
      <c r="C212" s="8" t="inlineStr">
        <is>
          <t xml:space="preserve">D</t>
        </is>
      </c>
      <c r="D212" s="8">
        <v>2023</v>
      </c>
      <c r="E212" s="5">
        <v>3</v>
      </c>
      <c r="F212" s="2" t="inlineStr">
        <is>
          <t xml:space="preserve">Medium</t>
        </is>
      </c>
      <c r="G212" s="2" t="inlineStr">
        <is>
          <t xml:space="preserve">Number theory</t>
        </is>
      </c>
      <c r="H212" s="2" t="inlineStr">
        <is>
          <t xml:space="preserve">Brute force</t>
        </is>
      </c>
      <c r="I212" s="2" t="inlineStr">
        <is>
          <t xml:space="preserve">Loops, Math, Arrays</t>
        </is>
      </c>
      <c r="J212" s="2" t="inlineStr">
        <is>
          <t xml:space="preserve">Check each value as i*i + j*j by iterating i up to its square root</t>
        </is>
      </c>
      <c r="K212" s="2" t="inlineStr">
        <is>
          <t xml:space="preserve"/>
        </is>
      </c>
      <c r="L212" s="9" t="str">
        <f>HYPERLINK("https://arena.olimpiici.com/#/catalog/742/problem/101905","open problem")</f>
        <v>open problem</v>
      </c>
    </row>
    <row r="213">
      <c r="A213" s="2" t="inlineStr">
        <is>
          <t xml:space="preserve">spiral</t>
        </is>
      </c>
      <c r="B213" s="2" t="inlineStr">
        <is>
          <t xml:space="preserve">NOI - Municipal round</t>
        </is>
      </c>
      <c r="C213" s="8" t="inlineStr">
        <is>
          <t xml:space="preserve">D</t>
        </is>
      </c>
      <c r="D213" s="8">
        <v>2023</v>
      </c>
      <c r="E213" s="5">
        <v>3</v>
      </c>
      <c r="F213" s="2" t="inlineStr">
        <is>
          <t xml:space="preserve">Medium</t>
        </is>
      </c>
      <c r="G213" s="2" t="inlineStr">
        <is>
          <t xml:space="preserve">Implementation / Simulation</t>
        </is>
      </c>
      <c r="H213" s="2" t="inlineStr">
        <is>
          <t xml:space="preserve">Grid/Matrix</t>
        </is>
      </c>
      <c r="I213" s="2" t="inlineStr">
        <is>
          <t xml:space="preserve">2D arrays, Grid/Matrix, Long long</t>
        </is>
      </c>
      <c r="J213" s="2" t="inlineStr">
        <is>
          <t xml:space="preserve">Fill the N x N spiral starting from M and sum row P</t>
        </is>
      </c>
      <c r="K213" s="2" t="inlineStr">
        <is>
          <t xml:space="preserve"/>
        </is>
      </c>
      <c r="L213" s="9" t="str">
        <f>HYPERLINK("https://arena.olimpiici.com/#/catalog/742/problem/101906","open problem")</f>
        <v>open problem</v>
      </c>
    </row>
    <row r="214">
      <c r="A214" s="2" t="inlineStr">
        <is>
          <t xml:space="preserve">palin</t>
        </is>
      </c>
      <c r="B214" s="2" t="inlineStr">
        <is>
          <t xml:space="preserve">NOI - Municipal round</t>
        </is>
      </c>
      <c r="C214" s="8" t="inlineStr">
        <is>
          <t xml:space="preserve">D</t>
        </is>
      </c>
      <c r="D214" s="8">
        <v>2023</v>
      </c>
      <c r="E214" s="4">
        <v>2</v>
      </c>
      <c r="F214" s="2" t="inlineStr">
        <is>
          <t xml:space="preserve">Easy</t>
        </is>
      </c>
      <c r="G214" s="2" t="inlineStr">
        <is>
          <t xml:space="preserve">Counting / Frequency arrays</t>
        </is>
      </c>
      <c r="H214" s="2" t="inlineStr">
        <is>
          <t xml:space="preserve">String processing</t>
        </is>
      </c>
      <c r="I214" s="2" t="inlineStr">
        <is>
          <t xml:space="preserve">Counting array, Strings, Chars</t>
        </is>
      </c>
      <c r="J214" s="2" t="inlineStr">
        <is>
          <t xml:space="preserve">A rearrangement is a palindrome iff at most one character has odd count</t>
        </is>
      </c>
      <c r="K214" s="2" t="inlineStr">
        <is>
          <t xml:space="preserve"/>
        </is>
      </c>
      <c r="L214" s="9" t="str">
        <f>HYPERLINK("https://arena.olimpiici.com/#/catalog/742/problem/101907","open problem")</f>
        <v>open problem</v>
      </c>
    </row>
    <row r="215">
      <c r="A215" s="2" t="inlineStr">
        <is>
          <t xml:space="preserve">maxsub</t>
        </is>
      </c>
      <c r="B215" s="2" t="inlineStr">
        <is>
          <t xml:space="preserve">NOI - Municipal round</t>
        </is>
      </c>
      <c r="C215" s="8" t="inlineStr">
        <is>
          <t xml:space="preserve">D</t>
        </is>
      </c>
      <c r="D215" s="8">
        <v>2024</v>
      </c>
      <c r="E215" s="3">
        <v>1</v>
      </c>
      <c r="F215" s="2" t="inlineStr">
        <is>
          <t xml:space="preserve">Very easy</t>
        </is>
      </c>
      <c r="G215" s="2" t="inlineStr">
        <is>
          <t xml:space="preserve">Counting / Frequency arrays</t>
        </is>
      </c>
      <c r="H215" s="2" t="inlineStr">
        <is>
          <t xml:space="preserve">String processing</t>
        </is>
      </c>
      <c r="I215" s="2" t="inlineStr">
        <is>
          <t xml:space="preserve">Counting array, Strings, Chars</t>
        </is>
      </c>
      <c r="J215" s="2" t="inlineStr">
        <is>
          <t xml:space="preserve">Take the most frequent letter, ties broken alphabetically</t>
        </is>
      </c>
      <c r="K215" s="2" t="inlineStr">
        <is>
          <t xml:space="preserve"/>
        </is>
      </c>
      <c r="L215" s="9" t="str">
        <f>HYPERLINK("https://arena.olimpiici.com/#/catalog/792/problem/102085","open problem")</f>
        <v>open problem</v>
      </c>
    </row>
    <row r="216">
      <c r="A216" s="2" t="inlineStr">
        <is>
          <t xml:space="preserve">product</t>
        </is>
      </c>
      <c r="B216" s="2" t="inlineStr">
        <is>
          <t xml:space="preserve">NOI - Municipal round</t>
        </is>
      </c>
      <c r="C216" s="8" t="inlineStr">
        <is>
          <t xml:space="preserve">D</t>
        </is>
      </c>
      <c r="D216" s="8">
        <v>2024</v>
      </c>
      <c r="E216" s="5">
        <v>3</v>
      </c>
      <c r="F216" s="2" t="inlineStr">
        <is>
          <t xml:space="preserve">Medium</t>
        </is>
      </c>
      <c r="G216" s="2" t="inlineStr">
        <is>
          <t xml:space="preserve">Number theory</t>
        </is>
      </c>
      <c r="H216" s="2" t="inlineStr">
        <is>
          <t xml:space="preserve">Math / Formula</t>
        </is>
      </c>
      <c r="I216" s="2" t="inlineStr">
        <is>
          <t xml:space="preserve">Long long, Math, Loops</t>
        </is>
      </c>
      <c r="J216" s="2" t="inlineStr">
        <is>
          <t xml:space="preserve">Trailing zeros come from min(count of 2s, count of 5s) in the range product</t>
        </is>
      </c>
      <c r="K216" s="2" t="inlineStr">
        <is>
          <t xml:space="preserve"/>
        </is>
      </c>
      <c r="L216" s="9" t="str">
        <f>HYPERLINK("https://arena.olimpiici.com/#/catalog/792/problem/102086","open problem")</f>
        <v>open problem</v>
      </c>
    </row>
    <row r="217">
      <c r="A217" s="2" t="inlineStr">
        <is>
          <t xml:space="preserve">sumfraction</t>
        </is>
      </c>
      <c r="B217" s="2" t="inlineStr">
        <is>
          <t xml:space="preserve">NOI - Municipal round</t>
        </is>
      </c>
      <c r="C217" s="8" t="inlineStr">
        <is>
          <t xml:space="preserve">D</t>
        </is>
      </c>
      <c r="D217" s="8">
        <v>2024</v>
      </c>
      <c r="E217" s="6">
        <v>4</v>
      </c>
      <c r="F217" s="2" t="inlineStr">
        <is>
          <t xml:space="preserve">Hard</t>
        </is>
      </c>
      <c r="G217" s="2" t="inlineStr">
        <is>
          <t xml:space="preserve">Hashing / Maps</t>
        </is>
      </c>
      <c r="H217" s="2" t="inlineStr">
        <is>
          <t xml:space="preserve">Number theory</t>
        </is>
      </c>
      <c r="I217" s="2" t="inlineStr">
        <is>
          <t xml:space="preserve">Sets, Maps, Math</t>
        </is>
      </c>
      <c r="J217" s="2" t="inlineStr">
        <is>
          <t xml:space="preserve">Reduce each fraction; sums are integral only within matching denominator classes</t>
        </is>
      </c>
      <c r="K217" s="2" t="inlineStr">
        <is>
          <t xml:space="preserve"/>
        </is>
      </c>
      <c r="L217" s="9" t="str">
        <f>HYPERLINK("https://arena.olimpiici.com/#/catalog/792/problem/102087","open problem")</f>
        <v>open problem</v>
      </c>
    </row>
    <row r="218">
      <c r="A218" s="2" t="inlineStr">
        <is>
          <t xml:space="preserve">digit</t>
        </is>
      </c>
      <c r="B218" s="2" t="inlineStr">
        <is>
          <t xml:space="preserve">NOI - Municipal round</t>
        </is>
      </c>
      <c r="C218" s="8" t="inlineStr">
        <is>
          <t xml:space="preserve">D</t>
        </is>
      </c>
      <c r="D218" s="8">
        <v>2025</v>
      </c>
      <c r="E218" s="4">
        <v>2</v>
      </c>
      <c r="F218" s="2" t="inlineStr">
        <is>
          <t xml:space="preserve">Easy</t>
        </is>
      </c>
      <c r="G218" s="2" t="inlineStr">
        <is>
          <t xml:space="preserve">Brute force</t>
        </is>
      </c>
      <c r="H218" s="2" t="inlineStr">
        <is>
          <t xml:space="preserve">Counting / Frequency arrays</t>
        </is>
      </c>
      <c r="I218" s="2" t="inlineStr">
        <is>
          <t xml:space="preserve">Nested loops, Counting array, Long long</t>
        </is>
      </c>
      <c r="J218" s="2" t="inlineStr">
        <is>
          <t xml:space="preserve">Iterate the multiplication table and bucket each product by its leading digit</t>
        </is>
      </c>
      <c r="K218" s="2" t="inlineStr">
        <is>
          <t xml:space="preserve"/>
        </is>
      </c>
      <c r="L218" s="9" t="str">
        <f>HYPERLINK("https://arena.olimpiici.com/#/catalog/845/problem/102262","open problem")</f>
        <v>open problem</v>
      </c>
    </row>
    <row r="219">
      <c r="A219" s="2" t="inlineStr">
        <is>
          <t xml:space="preserve">minmax</t>
        </is>
      </c>
      <c r="B219" s="2" t="inlineStr">
        <is>
          <t xml:space="preserve">NOI - Municipal round</t>
        </is>
      </c>
      <c r="C219" s="8" t="inlineStr">
        <is>
          <t xml:space="preserve">D</t>
        </is>
      </c>
      <c r="D219" s="8">
        <v>2025</v>
      </c>
      <c r="E219" s="4">
        <v>2</v>
      </c>
      <c r="F219" s="2" t="inlineStr">
        <is>
          <t xml:space="preserve">Easy</t>
        </is>
      </c>
      <c r="G219" s="2" t="inlineStr">
        <is>
          <t xml:space="preserve">Grid/Matrix</t>
        </is>
      </c>
      <c r="H219" s="2" t="inlineStr">
        <is>
          <t xml:space="preserve">Ad hoc / Observation</t>
        </is>
      </c>
      <c r="I219" s="2" t="inlineStr">
        <is>
          <t xml:space="preserve">2D arrays, Grid/Matrix, Loops</t>
        </is>
      </c>
      <c r="J219" s="2" t="inlineStr">
        <is>
          <t xml:space="preserve">Scan all horizontal and vertical neighbour pairs keeping min and max sums</t>
        </is>
      </c>
      <c r="K219" s="2" t="inlineStr">
        <is>
          <t xml:space="preserve"/>
        </is>
      </c>
      <c r="L219" s="9" t="str">
        <f>HYPERLINK("https://arena.olimpiici.com/#/catalog/845/problem/102263","open problem")</f>
        <v>open problem</v>
      </c>
    </row>
    <row r="220">
      <c r="A220" s="2" t="inlineStr">
        <is>
          <t xml:space="preserve">password</t>
        </is>
      </c>
      <c r="B220" s="2" t="inlineStr">
        <is>
          <t xml:space="preserve">NOI - Municipal round</t>
        </is>
      </c>
      <c r="C220" s="8" t="inlineStr">
        <is>
          <t xml:space="preserve">D</t>
        </is>
      </c>
      <c r="D220" s="8">
        <v>2025</v>
      </c>
      <c r="E220" s="6">
        <v>4</v>
      </c>
      <c r="F220" s="2" t="inlineStr">
        <is>
          <t xml:space="preserve">Hard</t>
        </is>
      </c>
      <c r="G220" s="2" t="inlineStr">
        <is>
          <t xml:space="preserve">Counting / Frequency arrays</t>
        </is>
      </c>
      <c r="H220" s="2" t="inlineStr">
        <is>
          <t xml:space="preserve">Greedy</t>
        </is>
      </c>
      <c r="I220" s="2" t="inlineStr">
        <is>
          <t xml:space="preserve">Counting array, Strings, Chars</t>
        </is>
      </c>
      <c r="J220" s="2" t="inlineStr">
        <is>
          <t xml:space="preserve">Find the split point where the suffix is exactly the capped letter counts of the prefix</t>
        </is>
      </c>
      <c r="K220" s="2" t="inlineStr">
        <is>
          <t xml:space="preserve"/>
        </is>
      </c>
      <c r="L220" s="9" t="str">
        <f>HYPERLINK("https://arena.olimpiici.com/#/catalog/845/problem/102264","open problem")</f>
        <v>open problem</v>
      </c>
    </row>
    <row r="221">
      <c r="A221" s="2" t="inlineStr">
        <is>
          <t xml:space="preserve">enemy</t>
        </is>
      </c>
      <c r="B221" s="2" t="inlineStr">
        <is>
          <t xml:space="preserve">NOI - Municipal round</t>
        </is>
      </c>
      <c r="C221" s="8" t="inlineStr">
        <is>
          <t xml:space="preserve">D</t>
        </is>
      </c>
      <c r="D221" s="8">
        <v>2026</v>
      </c>
      <c r="E221" s="4">
        <v>2</v>
      </c>
      <c r="F221" s="2" t="inlineStr">
        <is>
          <t xml:space="preserve">Easy</t>
        </is>
      </c>
      <c r="G221" s="2" t="inlineStr">
        <is>
          <t xml:space="preserve">Grid/Matrix</t>
        </is>
      </c>
      <c r="H221" s="2" t="inlineStr">
        <is>
          <t xml:space="preserve">Counting / Frequency arrays</t>
        </is>
      </c>
      <c r="I221" s="2" t="inlineStr">
        <is>
          <t xml:space="preserve">2D arrays, Grid/Matrix, Loops</t>
        </is>
      </c>
      <c r="J221" s="2" t="inlineStr">
        <is>
          <t xml:space="preserve">Count free seats having three or more occupied orthogonal neighbours</t>
        </is>
      </c>
      <c r="K221" s="2" t="inlineStr">
        <is>
          <t xml:space="preserve">Двумерни и многомерни масиви</t>
        </is>
      </c>
      <c r="L221" s="9" t="str">
        <f>HYPERLINK("https://arena.olimpiici.com/#/catalog/901/problem/102486","open problem")</f>
        <v>open problem</v>
      </c>
    </row>
    <row r="222">
      <c r="A222" s="2" t="inlineStr">
        <is>
          <t xml:space="preserve">pair</t>
        </is>
      </c>
      <c r="B222" s="2" t="inlineStr">
        <is>
          <t xml:space="preserve">NOI - Municipal round</t>
        </is>
      </c>
      <c r="C222" s="8" t="inlineStr">
        <is>
          <t xml:space="preserve">D</t>
        </is>
      </c>
      <c r="D222" s="8">
        <v>2026</v>
      </c>
      <c r="E222" s="4">
        <v>2</v>
      </c>
      <c r="F222" s="2" t="inlineStr">
        <is>
          <t xml:space="preserve">Easy</t>
        </is>
      </c>
      <c r="G222" s="2" t="inlineStr">
        <is>
          <t xml:space="preserve">Counting / Frequency arrays</t>
        </is>
      </c>
      <c r="H222" s="2" t="inlineStr">
        <is>
          <t xml:space="preserve">Two pointers / Sliding window</t>
        </is>
      </c>
      <c r="I222" s="2" t="inlineStr">
        <is>
          <t xml:space="preserve">Counting array, Sorting, Arrays</t>
        </is>
      </c>
      <c r="J222" s="2" t="inlineStr">
        <is>
          <t xml:space="preserve">Mark seen values and count pairs (x, S-x) in one pass</t>
        </is>
      </c>
      <c r="K222" s="2" t="inlineStr">
        <is>
          <t xml:space="preserve">Метод на показалките / 2-pointers</t>
        </is>
      </c>
      <c r="L222" s="9" t="str">
        <f>HYPERLINK("https://arena.olimpiici.com/#/catalog/901/problem/102487","open problem")</f>
        <v>open problem</v>
      </c>
    </row>
    <row r="223">
      <c r="A223" s="2" t="inlineStr">
        <is>
          <t xml:space="preserve">mermaid</t>
        </is>
      </c>
      <c r="B223" s="2" t="inlineStr">
        <is>
          <t xml:space="preserve">NOI - Municipal round</t>
        </is>
      </c>
      <c r="C223" s="8" t="inlineStr">
        <is>
          <t xml:space="preserve">D</t>
        </is>
      </c>
      <c r="D223" s="8">
        <v>2026</v>
      </c>
      <c r="E223" s="5">
        <v>3</v>
      </c>
      <c r="F223" s="2" t="inlineStr">
        <is>
          <t xml:space="preserve">Medium</t>
        </is>
      </c>
      <c r="G223" s="2" t="inlineStr">
        <is>
          <t xml:space="preserve">Graph traversal (BFS/DFS)</t>
        </is>
      </c>
      <c r="H223" s="2" t="inlineStr">
        <is>
          <t xml:space="preserve">Ad hoc / Observation</t>
        </is>
      </c>
      <c r="I223" s="2" t="inlineStr">
        <is>
          <t xml:space="preserve">Strings, Arrays, Loops</t>
        </is>
      </c>
      <c r="J223" s="2" t="inlineStr">
        <is>
          <t xml:space="preserve">A '*' next to another free section lets her swim forever; otherwise simulate</t>
        </is>
      </c>
      <c r="K223" s="2" t="inlineStr">
        <is>
          <t xml:space="preserve"/>
        </is>
      </c>
      <c r="L223" s="9" t="str">
        <f>HYPERLINK("https://arena.olimpiici.com/#/catalog/901/problem/102488","open problem")</f>
        <v>open problem</v>
      </c>
    </row>
    <row r="224">
      <c r="A224" s="2" t="inlineStr">
        <is>
          <t xml:space="preserve">money</t>
        </is>
      </c>
      <c r="B224" s="2" t="inlineStr">
        <is>
          <t xml:space="preserve">NOI - National round</t>
        </is>
      </c>
      <c r="C224" s="8" t="inlineStr">
        <is>
          <t xml:space="preserve">C</t>
        </is>
      </c>
      <c r="D224" s="8">
        <v>2009</v>
      </c>
      <c r="E224" s="5">
        <v>3</v>
      </c>
      <c r="F224" s="2" t="inlineStr">
        <is>
          <t xml:space="preserve">Medium</t>
        </is>
      </c>
      <c r="G224" s="2" t="inlineStr">
        <is>
          <t xml:space="preserve">Sorting</t>
        </is>
      </c>
      <c r="H224" s="2" t="inlineStr">
        <is>
          <t xml:space="preserve">Two pointers / Sliding window</t>
        </is>
      </c>
      <c r="I224" s="2" t="inlineStr">
        <is>
          <t xml:space="preserve">Sorting, Two pointers, Arrays</t>
        </is>
      </c>
      <c r="J224" s="2" t="inlineStr">
        <is>
          <t xml:space="preserve">Sort incomes; a window works when the two smallest exceed the largest</t>
        </is>
      </c>
      <c r="K224" s="2" t="inlineStr">
        <is>
          <t xml:space="preserve"/>
        </is>
      </c>
      <c r="L224" s="9" t="str">
        <f>HYPERLINK("https://arena.olimpiici.com/#/catalog/210/problem/100505","open problem")</f>
        <v>open problem</v>
      </c>
    </row>
    <row r="225">
      <c r="A225" s="2" t="inlineStr">
        <is>
          <t xml:space="preserve">ship</t>
        </is>
      </c>
      <c r="B225" s="2" t="inlineStr">
        <is>
          <t xml:space="preserve">NOI - National round</t>
        </is>
      </c>
      <c r="C225" s="8" t="inlineStr">
        <is>
          <t xml:space="preserve">C</t>
        </is>
      </c>
      <c r="D225" s="8">
        <v>2009</v>
      </c>
      <c r="E225" s="7">
        <v>5</v>
      </c>
      <c r="F225" s="2" t="inlineStr">
        <is>
          <t xml:space="preserve">Very hard</t>
        </is>
      </c>
      <c r="G225" s="2" t="inlineStr">
        <is>
          <t xml:space="preserve">Greedy</t>
        </is>
      </c>
      <c r="H225" s="2" t="inlineStr">
        <is>
          <t xml:space="preserve">Sorting</t>
        </is>
      </c>
      <c r="I225" s="2" t="inlineStr">
        <is>
          <t xml:space="preserve">Arrays, Sorting, Long long</t>
        </is>
      </c>
      <c r="J225" s="2" t="inlineStr">
        <is>
          <t xml:space="preserve">Permutation cycles: per cycle choose between local minimum and the global minimum helper</t>
        </is>
      </c>
      <c r="K225" s="2" t="inlineStr">
        <is>
          <t xml:space="preserve"/>
        </is>
      </c>
      <c r="L225" s="9" t="str">
        <f>HYPERLINK("https://arena.olimpiici.com/#/catalog/210/problem/100506","open problem")</f>
        <v>open problem</v>
      </c>
    </row>
    <row r="226">
      <c r="A226" s="2" t="inlineStr">
        <is>
          <t xml:space="preserve">odd</t>
        </is>
      </c>
      <c r="B226" s="2" t="inlineStr">
        <is>
          <t xml:space="preserve">NOI - National round</t>
        </is>
      </c>
      <c r="C226" s="8" t="inlineStr">
        <is>
          <t xml:space="preserve">C</t>
        </is>
      </c>
      <c r="D226" s="8">
        <v>2009</v>
      </c>
      <c r="E226" s="4">
        <v>2</v>
      </c>
      <c r="F226" s="2" t="inlineStr">
        <is>
          <t xml:space="preserve">Easy</t>
        </is>
      </c>
      <c r="G226" s="2" t="inlineStr">
        <is>
          <t xml:space="preserve">Bit manipulation</t>
        </is>
      </c>
      <c r="H226" s="2" t="inlineStr">
        <is>
          <t xml:space="preserve">Ad hoc / Observation</t>
        </is>
      </c>
      <c r="I226" s="2" t="inlineStr">
        <is>
          <t xml:space="preserve">Long long, Bitmask, Loops</t>
        </is>
      </c>
      <c r="J226" s="2" t="inlineStr">
        <is>
          <t xml:space="preserve">XOR all values; the pairs cancel and leave the odd-count number</t>
        </is>
      </c>
      <c r="K226" s="2" t="inlineStr">
        <is>
          <t xml:space="preserve"/>
        </is>
      </c>
      <c r="L226" s="9" t="str">
        <f>HYPERLINK("https://arena.olimpiici.com/#/catalog/210/problem/100507","open problem")</f>
        <v>open problem</v>
      </c>
    </row>
    <row r="227">
      <c r="A227" s="2" t="inlineStr">
        <is>
          <t xml:space="preserve">diet</t>
        </is>
      </c>
      <c r="B227" s="2" t="inlineStr">
        <is>
          <t xml:space="preserve">NOI - National round</t>
        </is>
      </c>
      <c r="C227" s="8" t="inlineStr">
        <is>
          <t xml:space="preserve">C</t>
        </is>
      </c>
      <c r="D227" s="8">
        <v>2009</v>
      </c>
      <c r="E227" s="6">
        <v>4</v>
      </c>
      <c r="F227" s="2" t="inlineStr">
        <is>
          <t xml:space="preserve">Hard</t>
        </is>
      </c>
      <c r="G227" s="2" t="inlineStr">
        <is>
          <t xml:space="preserve">Greedy</t>
        </is>
      </c>
      <c r="H227" s="2" t="inlineStr">
        <is>
          <t xml:space="preserve">Math / Formula</t>
        </is>
      </c>
      <c r="I227" s="2" t="inlineStr">
        <is>
          <t xml:space="preserve">Long long, Math, Loops</t>
        </is>
      </c>
      <c r="J227" s="2" t="inlineStr">
        <is>
          <t xml:space="preserve">Case analysis on how many 20g and 30g carrots must be cut to fill each day</t>
        </is>
      </c>
      <c r="K227" s="2" t="inlineStr">
        <is>
          <t xml:space="preserve"/>
        </is>
      </c>
      <c r="L227" s="9" t="str">
        <f>HYPERLINK("https://arena.olimpiici.com/#/catalog/210/problem/100508","open problem")</f>
        <v>open problem</v>
      </c>
    </row>
    <row r="228">
      <c r="A228" s="2" t="inlineStr">
        <is>
          <t xml:space="preserve">trade</t>
        </is>
      </c>
      <c r="B228" s="2" t="inlineStr">
        <is>
          <t xml:space="preserve">NOI - National round</t>
        </is>
      </c>
      <c r="C228" s="8" t="inlineStr">
        <is>
          <t xml:space="preserve">C</t>
        </is>
      </c>
      <c r="D228" s="8">
        <v>2009</v>
      </c>
      <c r="E228" s="6">
        <v>4</v>
      </c>
      <c r="F228" s="2" t="inlineStr">
        <is>
          <t xml:space="preserve">Hard</t>
        </is>
      </c>
      <c r="G228" s="2" t="inlineStr">
        <is>
          <t xml:space="preserve">Graph traversal (BFS/DFS)</t>
        </is>
      </c>
      <c r="H228" s="2" t="inlineStr">
        <is>
          <t xml:space="preserve">Math / Formula</t>
        </is>
      </c>
      <c r="I228" s="2" t="inlineStr">
        <is>
          <t xml:space="preserve">Vectors, Arrays, Math</t>
        </is>
      </c>
      <c r="J228" s="2" t="inlineStr">
        <is>
          <t xml:space="preserve">Every city has degree 2, so cycles: alternating sums recover the profits (odd cycles only)</t>
        </is>
      </c>
      <c r="K228" s="2" t="inlineStr">
        <is>
          <t xml:space="preserve"/>
        </is>
      </c>
      <c r="L228" s="9" t="str">
        <f>HYPERLINK("https://arena.olimpiici.com/#/catalog/210/problem/100509","open problem")</f>
        <v>open problem</v>
      </c>
    </row>
    <row r="229">
      <c r="A229" s="2" t="inlineStr">
        <is>
          <t xml:space="preserve">metro</t>
        </is>
      </c>
      <c r="B229" s="2" t="inlineStr">
        <is>
          <t xml:space="preserve">NOI - National round</t>
        </is>
      </c>
      <c r="C229" s="8" t="inlineStr">
        <is>
          <t xml:space="preserve">C</t>
        </is>
      </c>
      <c r="D229" s="8">
        <v>2009</v>
      </c>
      <c r="E229" s="6">
        <v>4</v>
      </c>
      <c r="F229" s="2" t="inlineStr">
        <is>
          <t xml:space="preserve">Hard</t>
        </is>
      </c>
      <c r="G229" s="2" t="inlineStr">
        <is>
          <t xml:space="preserve">Dynamic programming</t>
        </is>
      </c>
      <c r="H229" s="2" t="inlineStr">
        <is>
          <t xml:space="preserve">Grid/Matrix</t>
        </is>
      </c>
      <c r="I229" s="2" t="inlineStr">
        <is>
          <t xml:space="preserve">2D arrays, Arrays, Long long</t>
        </is>
      </c>
      <c r="J229" s="2" t="inlineStr">
        <is>
          <t xml:space="preserve">DP over (position, metro height) with the allowed +1/-1/-2 slope moves</t>
        </is>
      </c>
      <c r="K229" s="2" t="inlineStr">
        <is>
          <t xml:space="preserve"/>
        </is>
      </c>
      <c r="L229" s="9" t="str">
        <f>HYPERLINK("https://arena.olimpiici.com/#/catalog/210/problem/100510","open problem")</f>
        <v>open problem</v>
      </c>
    </row>
    <row r="230">
      <c r="A230" s="2" t="inlineStr">
        <is>
          <t xml:space="preserve">partition</t>
        </is>
      </c>
      <c r="B230" s="2" t="inlineStr">
        <is>
          <t xml:space="preserve">NOI - National round</t>
        </is>
      </c>
      <c r="C230" s="8" t="inlineStr">
        <is>
          <t xml:space="preserve">C</t>
        </is>
      </c>
      <c r="D230" s="8">
        <v>2010</v>
      </c>
      <c r="E230" s="7">
        <v>5</v>
      </c>
      <c r="F230" s="2" t="inlineStr">
        <is>
          <t xml:space="preserve">Very hard</t>
        </is>
      </c>
      <c r="G230" s="2" t="inlineStr">
        <is>
          <t xml:space="preserve">Dynamic programming</t>
        </is>
      </c>
      <c r="H230" s="2" t="inlineStr">
        <is>
          <t xml:space="preserve">Combinatorics</t>
        </is>
      </c>
      <c r="I230" s="2" t="inlineStr">
        <is>
          <t xml:space="preserve">Arrays, Modular arithmetic, Long long</t>
        </is>
      </c>
      <c r="J230" s="2" t="inlineStr">
        <is>
          <t xml:space="preserve">Count partitions of N into parts &gt;= 3; needs a fast partition recurrence</t>
        </is>
      </c>
      <c r="K230" s="2" t="inlineStr">
        <is>
          <t xml:space="preserve"/>
        </is>
      </c>
      <c r="L230" s="9" t="str">
        <f>HYPERLINK("https://arena.olimpiici.com/#/catalog/215/problem/100531","open problem")</f>
        <v>open problem</v>
      </c>
    </row>
    <row r="231">
      <c r="A231" s="2" t="inlineStr">
        <is>
          <t xml:space="preserve">segments</t>
        </is>
      </c>
      <c r="B231" s="2" t="inlineStr">
        <is>
          <t xml:space="preserve">NOI - National round</t>
        </is>
      </c>
      <c r="C231" s="8" t="inlineStr">
        <is>
          <t xml:space="preserve">C</t>
        </is>
      </c>
      <c r="D231" s="8">
        <v>2010</v>
      </c>
      <c r="E231" s="6">
        <v>4</v>
      </c>
      <c r="F231" s="2" t="inlineStr">
        <is>
          <t xml:space="preserve">Hard</t>
        </is>
      </c>
      <c r="G231" s="2" t="inlineStr">
        <is>
          <t xml:space="preserve">Prefix sums</t>
        </is>
      </c>
      <c r="H231" s="2" t="inlineStr">
        <is>
          <t xml:space="preserve">Sorting</t>
        </is>
      </c>
      <c r="I231" s="2" t="inlineStr">
        <is>
          <t xml:space="preserve">Sorting, Prefix sums, Long long</t>
        </is>
      </c>
      <c r="J231" s="2" t="inlineStr">
        <is>
          <t xml:space="preserve">Compress coordinates into a per-unit cost array, then maximum-subarray over it</t>
        </is>
      </c>
      <c r="K231" s="2" t="inlineStr">
        <is>
          <t xml:space="preserve"/>
        </is>
      </c>
      <c r="L231" s="9" t="str">
        <f>HYPERLINK("https://arena.olimpiici.com/#/catalog/215/problem/100532","open problem")</f>
        <v>open problem</v>
      </c>
    </row>
    <row r="232">
      <c r="A232" s="2" t="inlineStr">
        <is>
          <t xml:space="preserve">alldig</t>
        </is>
      </c>
      <c r="B232" s="2" t="inlineStr">
        <is>
          <t xml:space="preserve">NOI - National round</t>
        </is>
      </c>
      <c r="C232" s="8" t="inlineStr">
        <is>
          <t xml:space="preserve">C</t>
        </is>
      </c>
      <c r="D232" s="8">
        <v>2010</v>
      </c>
      <c r="E232" s="6">
        <v>4</v>
      </c>
      <c r="F232" s="2" t="inlineStr">
        <is>
          <t xml:space="preserve">Hard</t>
        </is>
      </c>
      <c r="G232" s="2" t="inlineStr">
        <is>
          <t xml:space="preserve">Brute force</t>
        </is>
      </c>
      <c r="H232" s="2" t="inlineStr">
        <is>
          <t xml:space="preserve">Number theory</t>
        </is>
      </c>
      <c r="I232" s="2" t="inlineStr">
        <is>
          <t xml:space="preserve">Recursion, Arrays, Long long</t>
        </is>
      </c>
      <c r="J232" s="2" t="inlineStr">
        <is>
          <t xml:space="preserve">Search 11-digit pandigital candidates in increasing order until one divides by N</t>
        </is>
      </c>
      <c r="K232" s="2" t="inlineStr">
        <is>
          <t xml:space="preserve"/>
        </is>
      </c>
      <c r="L232" s="9" t="str">
        <f>HYPERLINK("https://arena.olimpiici.com/#/catalog/215/problem/100533","open problem")</f>
        <v>open problem</v>
      </c>
    </row>
    <row r="233">
      <c r="A233" s="2" t="inlineStr">
        <is>
          <t xml:space="preserve">castle</t>
        </is>
      </c>
      <c r="B233" s="2" t="inlineStr">
        <is>
          <t xml:space="preserve">NOI - National round</t>
        </is>
      </c>
      <c r="C233" s="8" t="inlineStr">
        <is>
          <t xml:space="preserve">C</t>
        </is>
      </c>
      <c r="D233" s="8">
        <v>2010</v>
      </c>
      <c r="E233" s="6">
        <v>4</v>
      </c>
      <c r="F233" s="2" t="inlineStr">
        <is>
          <t xml:space="preserve">Hard</t>
        </is>
      </c>
      <c r="G233" s="2" t="inlineStr">
        <is>
          <t xml:space="preserve">Graph traversal (BFS/DFS)</t>
        </is>
      </c>
      <c r="H233" s="2" t="inlineStr">
        <is>
          <t xml:space="preserve">Dynamic programming</t>
        </is>
      </c>
      <c r="I233" s="2" t="inlineStr">
        <is>
          <t xml:space="preserve">Queues, 2D arrays, Bitmask</t>
        </is>
      </c>
      <c r="J233" s="2" t="inlineStr">
        <is>
          <t xml:space="preserve">BFS distances on a wrap-around grid, then bitmask TSP over at most 5 princes</t>
        </is>
      </c>
      <c r="K233" s="2" t="inlineStr">
        <is>
          <t xml:space="preserve"/>
        </is>
      </c>
      <c r="L233" s="9" t="str">
        <f>HYPERLINK("https://arena.olimpiici.com/#/catalog/215/problem/100534","open problem")</f>
        <v>open problem</v>
      </c>
    </row>
    <row r="234">
      <c r="A234" s="2" t="inlineStr">
        <is>
          <t xml:space="preserve">num</t>
        </is>
      </c>
      <c r="B234" s="2" t="inlineStr">
        <is>
          <t xml:space="preserve">NOI - National round</t>
        </is>
      </c>
      <c r="C234" s="8" t="inlineStr">
        <is>
          <t xml:space="preserve">C</t>
        </is>
      </c>
      <c r="D234" s="8">
        <v>2010</v>
      </c>
      <c r="E234" s="7">
        <v>5</v>
      </c>
      <c r="F234" s="2" t="inlineStr">
        <is>
          <t xml:space="preserve">Very hard</t>
        </is>
      </c>
      <c r="G234" s="2" t="inlineStr">
        <is>
          <t xml:space="preserve">Combinatorics</t>
        </is>
      </c>
      <c r="H234" s="2" t="inlineStr">
        <is>
          <t xml:space="preserve">Counting / Frequency arrays</t>
        </is>
      </c>
      <c r="I234" s="2" t="inlineStr">
        <is>
          <t xml:space="preserve">Counting array, Modular arithmetic, Strings</t>
        </is>
      </c>
      <c r="J234" s="2" t="inlineStr">
        <is>
          <t xml:space="preserve">Count distinct numbers from digit multisets: multinomials minus leading-zero cases</t>
        </is>
      </c>
      <c r="K234" s="2" t="inlineStr">
        <is>
          <t xml:space="preserve"/>
        </is>
      </c>
      <c r="L234" s="9" t="str">
        <f>HYPERLINK("https://arena.olimpiici.com/#/catalog/215/problem/100535","open problem")</f>
        <v>open problem</v>
      </c>
    </row>
    <row r="235">
      <c r="A235" s="2" t="inlineStr">
        <is>
          <t xml:space="preserve">secret</t>
        </is>
      </c>
      <c r="B235" s="2" t="inlineStr">
        <is>
          <t xml:space="preserve">NOI - National round</t>
        </is>
      </c>
      <c r="C235" s="8" t="inlineStr">
        <is>
          <t xml:space="preserve">C</t>
        </is>
      </c>
      <c r="D235" s="8">
        <v>2010</v>
      </c>
      <c r="E235" s="6">
        <v>4</v>
      </c>
      <c r="F235" s="2" t="inlineStr">
        <is>
          <t xml:space="preserve">Hard</t>
        </is>
      </c>
      <c r="G235" s="2" t="inlineStr">
        <is>
          <t xml:space="preserve">Implementation / Simulation</t>
        </is>
      </c>
      <c r="H235" s="2" t="inlineStr">
        <is>
          <t xml:space="preserve">String processing</t>
        </is>
      </c>
      <c r="I235" s="2" t="inlineStr">
        <is>
          <t xml:space="preserve">2D arrays, Strings, Math</t>
        </is>
      </c>
      <c r="J235" s="2" t="inlineStr">
        <is>
          <t xml:space="preserve">Rebuild the n x n table, derive the start row from the digits, read the diagonal</t>
        </is>
      </c>
      <c r="K235" s="2" t="inlineStr">
        <is>
          <t xml:space="preserve"/>
        </is>
      </c>
      <c r="L235" s="9" t="str">
        <f>HYPERLINK("https://arena.olimpiici.com/#/catalog/215/problem/100536","open problem")</f>
        <v>open problem</v>
      </c>
    </row>
    <row r="236">
      <c r="A236" s="2" t="inlineStr">
        <is>
          <t xml:space="preserve">clock</t>
        </is>
      </c>
      <c r="B236" s="2" t="inlineStr">
        <is>
          <t xml:space="preserve">NOI - National round</t>
        </is>
      </c>
      <c r="C236" s="8" t="inlineStr">
        <is>
          <t xml:space="preserve">C</t>
        </is>
      </c>
      <c r="D236" s="8">
        <v>2011</v>
      </c>
      <c r="E236" s="3">
        <v>1</v>
      </c>
      <c r="F236" s="2" t="inlineStr">
        <is>
          <t xml:space="preserve">Very easy</t>
        </is>
      </c>
      <c r="G236" s="2" t="inlineStr">
        <is>
          <t xml:space="preserve">Math / Formula</t>
        </is>
      </c>
      <c r="H236" s="2" t="inlineStr">
        <is>
          <t xml:space="preserve">Geometry</t>
        </is>
      </c>
      <c r="I236" s="2" t="inlineStr">
        <is>
          <t xml:space="preserve">Math, I/O parsing</t>
        </is>
      </c>
      <c r="J236" s="2" t="inlineStr">
        <is>
          <t xml:space="preserve">Angle between hands: |30*H - 5.5*M|, folded into [0,180]</t>
        </is>
      </c>
      <c r="K236" s="2" t="inlineStr">
        <is>
          <t xml:space="preserve">Геометрия</t>
        </is>
      </c>
      <c r="L236" s="9" t="str">
        <f>HYPERLINK("https://arena.olimpiici.com/#/catalog/220/problem/100557","open problem")</f>
        <v>open problem</v>
      </c>
    </row>
    <row r="237">
      <c r="A237" s="2" t="inlineStr">
        <is>
          <t xml:space="preserve">fractions</t>
        </is>
      </c>
      <c r="B237" s="2" t="inlineStr">
        <is>
          <t xml:space="preserve">NOI - National round</t>
        </is>
      </c>
      <c r="C237" s="8" t="inlineStr">
        <is>
          <t xml:space="preserve">C</t>
        </is>
      </c>
      <c r="D237" s="8">
        <v>2011</v>
      </c>
      <c r="E237" s="6">
        <v>4</v>
      </c>
      <c r="F237" s="2" t="inlineStr">
        <is>
          <t xml:space="preserve">Hard</t>
        </is>
      </c>
      <c r="G237" s="2" t="inlineStr">
        <is>
          <t xml:space="preserve">Number theory</t>
        </is>
      </c>
      <c r="H237" s="2" t="inlineStr">
        <is>
          <t xml:space="preserve">Math / Formula</t>
        </is>
      </c>
      <c r="I237" s="2" t="inlineStr">
        <is>
          <t xml:space="preserve">Math, Long long, Loops</t>
        </is>
      </c>
      <c r="J237" s="2" t="inlineStr">
        <is>
          <t xml:space="preserve">Next Farey-sequence fraction with denominator &lt;= z via extended Euclid</t>
        </is>
      </c>
      <c r="K237" s="2" t="inlineStr">
        <is>
          <t xml:space="preserve"/>
        </is>
      </c>
      <c r="L237" s="9" t="str">
        <f>HYPERLINK("https://arena.olimpiici.com/#/catalog/220/problem/100558","open problem")</f>
        <v>open problem</v>
      </c>
    </row>
    <row r="238">
      <c r="A238" s="2" t="inlineStr">
        <is>
          <t xml:space="preserve">triangles</t>
        </is>
      </c>
      <c r="B238" s="2" t="inlineStr">
        <is>
          <t xml:space="preserve">NOI - National round</t>
        </is>
      </c>
      <c r="C238" s="8" t="inlineStr">
        <is>
          <t xml:space="preserve">C</t>
        </is>
      </c>
      <c r="D238" s="8">
        <v>2011</v>
      </c>
      <c r="E238" s="6">
        <v>4</v>
      </c>
      <c r="F238" s="2" t="inlineStr">
        <is>
          <t xml:space="preserve">Hard</t>
        </is>
      </c>
      <c r="G238" s="2" t="inlineStr">
        <is>
          <t xml:space="preserve">Geometry</t>
        </is>
      </c>
      <c r="H238" s="2" t="inlineStr">
        <is>
          <t xml:space="preserve">Math / Formula</t>
        </is>
      </c>
      <c r="I238" s="2" t="inlineStr">
        <is>
          <t xml:space="preserve">Math, Loops</t>
        </is>
      </c>
      <c r="J238" s="2" t="inlineStr">
        <is>
          <t xml:space="preserve">Intersection area of two axis-aligned right triangles by case analysis</t>
        </is>
      </c>
      <c r="K238" s="2" t="inlineStr">
        <is>
          <t xml:space="preserve"/>
        </is>
      </c>
      <c r="L238" s="9" t="str">
        <f>HYPERLINK("https://arena.olimpiici.com/#/catalog/220/problem/100559","open problem")</f>
        <v>open problem</v>
      </c>
    </row>
    <row r="239">
      <c r="A239" s="2" t="inlineStr">
        <is>
          <t xml:space="preserve">rect</t>
        </is>
      </c>
      <c r="B239" s="2" t="inlineStr">
        <is>
          <t xml:space="preserve">NOI - National round</t>
        </is>
      </c>
      <c r="C239" s="8" t="inlineStr">
        <is>
          <t xml:space="preserve">C</t>
        </is>
      </c>
      <c r="D239" s="8">
        <v>2011</v>
      </c>
      <c r="E239" s="6">
        <v>4</v>
      </c>
      <c r="F239" s="2" t="inlineStr">
        <is>
          <t xml:space="preserve">Hard</t>
        </is>
      </c>
      <c r="G239" s="2" t="inlineStr">
        <is>
          <t xml:space="preserve">Geometry</t>
        </is>
      </c>
      <c r="H239" s="2" t="inlineStr">
        <is>
          <t xml:space="preserve">Brute force</t>
        </is>
      </c>
      <c r="I239" s="2" t="inlineStr">
        <is>
          <t xml:space="preserve">Math, Loops, Long long</t>
        </is>
      </c>
      <c r="J239" s="2" t="inlineStr">
        <is>
          <t xml:space="preserve">Inscribed rectangle areas from integer offsets on the sides; scan and take min/max</t>
        </is>
      </c>
      <c r="K239" s="2" t="inlineStr">
        <is>
          <t xml:space="preserve"/>
        </is>
      </c>
      <c r="L239" s="9" t="str">
        <f>HYPERLINK("https://arena.olimpiici.com/#/catalog/220/problem/100560","open problem")</f>
        <v>open problem</v>
      </c>
    </row>
    <row r="240">
      <c r="A240" s="2" t="inlineStr">
        <is>
          <t xml:space="preserve">fuel</t>
        </is>
      </c>
      <c r="B240" s="2" t="inlineStr">
        <is>
          <t xml:space="preserve">NOI - National round</t>
        </is>
      </c>
      <c r="C240" s="8" t="inlineStr">
        <is>
          <t xml:space="preserve">C</t>
        </is>
      </c>
      <c r="D240" s="8">
        <v>2011</v>
      </c>
      <c r="E240" s="6">
        <v>4</v>
      </c>
      <c r="F240" s="2" t="inlineStr">
        <is>
          <t xml:space="preserve">Hard</t>
        </is>
      </c>
      <c r="G240" s="2" t="inlineStr">
        <is>
          <t xml:space="preserve">Dynamic programming</t>
        </is>
      </c>
      <c r="H240" s="2" t="inlineStr">
        <is>
          <t xml:space="preserve">Prefix sums</t>
        </is>
      </c>
      <c r="I240" s="2" t="inlineStr">
        <is>
          <t xml:space="preserve">Prefix sums, Two pointers, Modular arithmetic</t>
        </is>
      </c>
      <c r="J240" s="2" t="inlineStr">
        <is>
          <t xml:space="preserve">Count paths with jumps of at most L using a sliding prefix-sum window</t>
        </is>
      </c>
      <c r="K240" s="2" t="inlineStr">
        <is>
          <t xml:space="preserve">Динамично програмиране (Dynamic programming)</t>
        </is>
      </c>
      <c r="L240" s="9" t="str">
        <f>HYPERLINK("https://arena.olimpiici.com/#/catalog/220/problem/100561","open problem")</f>
        <v>open problem</v>
      </c>
    </row>
    <row r="241">
      <c r="A241" s="2" t="inlineStr">
        <is>
          <t xml:space="preserve">sysadmin</t>
        </is>
      </c>
      <c r="B241" s="2" t="inlineStr">
        <is>
          <t xml:space="preserve">NOI - National round</t>
        </is>
      </c>
      <c r="C241" s="8" t="inlineStr">
        <is>
          <t xml:space="preserve">C</t>
        </is>
      </c>
      <c r="D241" s="8">
        <v>2011</v>
      </c>
      <c r="E241" s="5">
        <v>3</v>
      </c>
      <c r="F241" s="2" t="inlineStr">
        <is>
          <t xml:space="preserve">Medium</t>
        </is>
      </c>
      <c r="G241" s="2" t="inlineStr">
        <is>
          <t xml:space="preserve">Bit manipulation</t>
        </is>
      </c>
      <c r="H241" s="2" t="inlineStr">
        <is>
          <t xml:space="preserve">String processing</t>
        </is>
      </c>
      <c r="I241" s="2" t="inlineStr">
        <is>
          <t xml:space="preserve">Bitmask, Strings, I/O parsing</t>
        </is>
      </c>
      <c r="J241" s="2" t="inlineStr">
        <is>
          <t xml:space="preserve">Rebuild 32 bits per address, rotate left by K, split into four characters</t>
        </is>
      </c>
      <c r="K241" s="2" t="inlineStr">
        <is>
          <t xml:space="preserve"/>
        </is>
      </c>
      <c r="L241" s="9" t="str">
        <f>HYPERLINK("https://arena.olimpiici.com/#/catalog/220/problem/100562","open problem")</f>
        <v>open problem</v>
      </c>
    </row>
    <row r="242">
      <c r="A242" s="2" t="inlineStr">
        <is>
          <t xml:space="preserve">div</t>
        </is>
      </c>
      <c r="B242" s="2" t="inlineStr">
        <is>
          <t xml:space="preserve">NOI - National round</t>
        </is>
      </c>
      <c r="C242" s="8" t="inlineStr">
        <is>
          <t xml:space="preserve">C</t>
        </is>
      </c>
      <c r="D242" s="8">
        <v>2012</v>
      </c>
      <c r="E242" s="5">
        <v>3</v>
      </c>
      <c r="F242" s="2" t="inlineStr">
        <is>
          <t xml:space="preserve">Medium</t>
        </is>
      </c>
      <c r="G242" s="2" t="inlineStr">
        <is>
          <t xml:space="preserve">Big numbers</t>
        </is>
      </c>
      <c r="H242" s="2" t="inlineStr">
        <is>
          <t xml:space="preserve">Number theory</t>
        </is>
      </c>
      <c r="I242" s="2" t="inlineStr">
        <is>
          <t xml:space="preserve">Big integers, Strings, Loops</t>
        </is>
      </c>
      <c r="J242" s="2" t="inlineStr">
        <is>
          <t xml:space="preserve">Big-number division by every candidate divisor below 2001</t>
        </is>
      </c>
      <c r="K242" s="2" t="inlineStr">
        <is>
          <t xml:space="preserve">Дълги числа (Big numbers)</t>
        </is>
      </c>
      <c r="L242" s="9" t="str">
        <f>HYPERLINK("https://arena.olimpiici.com/#/catalog/225/problem/100581","open problem")</f>
        <v>open problem</v>
      </c>
    </row>
    <row r="243">
      <c r="A243" s="2" t="inlineStr">
        <is>
          <t xml:space="preserve">ninjata</t>
        </is>
      </c>
      <c r="B243" s="2" t="inlineStr">
        <is>
          <t xml:space="preserve">NOI - National round</t>
        </is>
      </c>
      <c r="C243" s="8" t="inlineStr">
        <is>
          <t xml:space="preserve">C</t>
        </is>
      </c>
      <c r="D243" s="8">
        <v>2012</v>
      </c>
      <c r="E243" s="6">
        <v>4</v>
      </c>
      <c r="F243" s="2" t="inlineStr">
        <is>
          <t xml:space="preserve">Hard</t>
        </is>
      </c>
      <c r="G243" s="2" t="inlineStr">
        <is>
          <t xml:space="preserve">Dynamic programming</t>
        </is>
      </c>
      <c r="H243" s="2" t="inlineStr">
        <is>
          <t xml:space="preserve">Grid/Matrix</t>
        </is>
      </c>
      <c r="I243" s="2" t="inlineStr">
        <is>
          <t xml:space="preserve">2D arrays, Grid/Matrix, Loops</t>
        </is>
      </c>
      <c r="J243" s="2" t="inlineStr">
        <is>
          <t xml:space="preserve">Lights flip each second, so parity of the step decides which rooms are dark</t>
        </is>
      </c>
      <c r="K243" s="2" t="inlineStr">
        <is>
          <t xml:space="preserve"/>
        </is>
      </c>
      <c r="L243" s="9" t="str">
        <f>HYPERLINK("https://arena.olimpiici.com/#/catalog/225/problem/100582","open problem")</f>
        <v>open problem</v>
      </c>
    </row>
    <row r="244">
      <c r="A244" s="2" t="inlineStr">
        <is>
          <t xml:space="preserve">seq</t>
        </is>
      </c>
      <c r="B244" s="2" t="inlineStr">
        <is>
          <t xml:space="preserve">NOI - National round</t>
        </is>
      </c>
      <c r="C244" s="8" t="inlineStr">
        <is>
          <t xml:space="preserve">C</t>
        </is>
      </c>
      <c r="D244" s="8">
        <v>2012</v>
      </c>
      <c r="E244" s="6">
        <v>4</v>
      </c>
      <c r="F244" s="2" t="inlineStr">
        <is>
          <t xml:space="preserve">Hard</t>
        </is>
      </c>
      <c r="G244" s="2" t="inlineStr">
        <is>
          <t xml:space="preserve">Recursion / Backtracking</t>
        </is>
      </c>
      <c r="H244" s="2" t="inlineStr">
        <is>
          <t xml:space="preserve">Math / Formula</t>
        </is>
      </c>
      <c r="I244" s="2" t="inlineStr">
        <is>
          <t xml:space="preserve">Recursion, Long long, Arrays</t>
        </is>
      </c>
      <c r="J244" s="2" t="inlineStr">
        <is>
          <t xml:space="preserve">Element lengths grow predictably: recurse into the right copy to find digit K</t>
        </is>
      </c>
      <c r="K244" s="2" t="inlineStr">
        <is>
          <t xml:space="preserve"/>
        </is>
      </c>
      <c r="L244" s="9" t="str">
        <f>HYPERLINK("https://arena.olimpiici.com/#/catalog/225/problem/100583","open problem")</f>
        <v>open problem</v>
      </c>
    </row>
    <row r="245">
      <c r="A245" s="2" t="inlineStr">
        <is>
          <t xml:space="preserve">decomposition</t>
        </is>
      </c>
      <c r="B245" s="2" t="inlineStr">
        <is>
          <t xml:space="preserve">NOI - National round</t>
        </is>
      </c>
      <c r="C245" s="8" t="inlineStr">
        <is>
          <t xml:space="preserve">C</t>
        </is>
      </c>
      <c r="D245" s="8">
        <v>2012</v>
      </c>
      <c r="E245" s="5">
        <v>3</v>
      </c>
      <c r="F245" s="2" t="inlineStr">
        <is>
          <t xml:space="preserve">Medium</t>
        </is>
      </c>
      <c r="G245" s="2" t="inlineStr">
        <is>
          <t xml:space="preserve">Combinatorics</t>
        </is>
      </c>
      <c r="H245" s="2" t="inlineStr">
        <is>
          <t xml:space="preserve">Number theory</t>
        </is>
      </c>
      <c r="I245" s="2" t="inlineStr">
        <is>
          <t xml:space="preserve">Math, Long long, Arrays</t>
        </is>
      </c>
      <c r="J245" s="2" t="inlineStr">
        <is>
          <t xml:space="preserve">Ordered factorisations = multinomial of the prime exponents</t>
        </is>
      </c>
      <c r="K245" s="2" t="inlineStr">
        <is>
          <t xml:space="preserve"/>
        </is>
      </c>
      <c r="L245" s="9" t="str">
        <f>HYPERLINK("https://arena.olimpiici.com/#/catalog/225/problem/100584","open problem")</f>
        <v>open problem</v>
      </c>
    </row>
    <row r="246">
      <c r="A246" s="2" t="inlineStr">
        <is>
          <t xml:space="preserve">sumprod</t>
        </is>
      </c>
      <c r="B246" s="2" t="inlineStr">
        <is>
          <t xml:space="preserve">NOI - National round</t>
        </is>
      </c>
      <c r="C246" s="8" t="inlineStr">
        <is>
          <t xml:space="preserve">C</t>
        </is>
      </c>
      <c r="D246" s="8">
        <v>2012</v>
      </c>
      <c r="E246" s="6">
        <v>4</v>
      </c>
      <c r="F246" s="2" t="inlineStr">
        <is>
          <t xml:space="preserve">Hard</t>
        </is>
      </c>
      <c r="G246" s="2" t="inlineStr">
        <is>
          <t xml:space="preserve">Dynamic programming</t>
        </is>
      </c>
      <c r="H246" s="2" t="inlineStr">
        <is>
          <t xml:space="preserve">Combinatorics</t>
        </is>
      </c>
      <c r="I246" s="2" t="inlineStr">
        <is>
          <t xml:space="preserve">Arrays, Modular arithmetic, Long long</t>
        </is>
      </c>
      <c r="J246" s="2" t="inlineStr">
        <is>
          <t xml:space="preserve">Elementary symmetric sums by the classic O(n^2) polynomial-product DP, mod m</t>
        </is>
      </c>
      <c r="K246" s="2" t="inlineStr">
        <is>
          <t xml:space="preserve"/>
        </is>
      </c>
      <c r="L246" s="9" t="str">
        <f>HYPERLINK("https://arena.olimpiici.com/#/catalog/225/problem/100585","open problem")</f>
        <v>open problem</v>
      </c>
    </row>
    <row r="247">
      <c r="A247" s="2" t="inlineStr">
        <is>
          <t xml:space="preserve">graze</t>
        </is>
      </c>
      <c r="B247" s="2" t="inlineStr">
        <is>
          <t xml:space="preserve">NOI - National round</t>
        </is>
      </c>
      <c r="C247" s="8" t="inlineStr">
        <is>
          <t xml:space="preserve">C</t>
        </is>
      </c>
      <c r="D247" s="8">
        <v>2012</v>
      </c>
      <c r="E247" s="7">
        <v>5</v>
      </c>
      <c r="F247" s="2" t="inlineStr">
        <is>
          <t xml:space="preserve">Very hard</t>
        </is>
      </c>
      <c r="G247" s="2" t="inlineStr">
        <is>
          <t xml:space="preserve">Binary search</t>
        </is>
      </c>
      <c r="H247" s="2" t="inlineStr">
        <is>
          <t xml:space="preserve">Greedy</t>
        </is>
      </c>
      <c r="I247" s="2" t="inlineStr">
        <is>
          <t xml:space="preserve">Sorting, Two pointers, Long long</t>
        </is>
      </c>
      <c r="J247" s="2" t="inlineStr">
        <is>
          <t xml:space="preserve">Binary search the time limit, then check feasibility greedily with pen capacities</t>
        </is>
      </c>
      <c r="K247" s="2" t="inlineStr">
        <is>
          <t xml:space="preserve">Двоично търсене (binary search); Greedy</t>
        </is>
      </c>
      <c r="L247" s="9" t="str">
        <f>HYPERLINK("https://arena.olimpiici.com/#/catalog/225/problem/100586","open problem")</f>
        <v>open problem</v>
      </c>
    </row>
    <row r="248">
      <c r="A248" s="2" t="inlineStr">
        <is>
          <t xml:space="preserve">divseq</t>
        </is>
      </c>
      <c r="B248" s="2" t="inlineStr">
        <is>
          <t xml:space="preserve">NOI - National round</t>
        </is>
      </c>
      <c r="C248" s="8" t="inlineStr">
        <is>
          <t xml:space="preserve">C</t>
        </is>
      </c>
      <c r="D248" s="8">
        <v>2013</v>
      </c>
      <c r="E248" s="6">
        <v>4</v>
      </c>
      <c r="F248" s="2" t="inlineStr">
        <is>
          <t xml:space="preserve">Hard</t>
        </is>
      </c>
      <c r="G248" s="2" t="inlineStr">
        <is>
          <t xml:space="preserve">Dynamic programming</t>
        </is>
      </c>
      <c r="H248" s="2" t="inlineStr">
        <is>
          <t xml:space="preserve">Number theory</t>
        </is>
      </c>
      <c r="I248" s="2" t="inlineStr">
        <is>
          <t xml:space="preserve">2D arrays, Modular arithmetic, Arrays</t>
        </is>
      </c>
      <c r="J248" s="2" t="inlineStr">
        <is>
          <t xml:space="preserve">DP over (position, last value) with transitions along divisor/multiple lists</t>
        </is>
      </c>
      <c r="K248" s="2" t="inlineStr">
        <is>
          <t xml:space="preserve">Динамично програмиране (Dynamic programming)</t>
        </is>
      </c>
      <c r="L248" s="9" t="str">
        <f>HYPERLINK("https://arena.olimpiici.com/#/catalog/230/problem/100605","open problem")</f>
        <v>open problem</v>
      </c>
    </row>
    <row r="249">
      <c r="A249" s="2" t="inlineStr">
        <is>
          <t xml:space="preserve">teleports</t>
        </is>
      </c>
      <c r="B249" s="2" t="inlineStr">
        <is>
          <t xml:space="preserve">NOI - National round</t>
        </is>
      </c>
      <c r="C249" s="8" t="inlineStr">
        <is>
          <t xml:space="preserve">C</t>
        </is>
      </c>
      <c r="D249" s="8">
        <v>2013</v>
      </c>
      <c r="E249" s="5">
        <v>3</v>
      </c>
      <c r="F249" s="2" t="inlineStr">
        <is>
          <t xml:space="preserve">Medium</t>
        </is>
      </c>
      <c r="G249" s="2" t="inlineStr">
        <is>
          <t xml:space="preserve">Graph traversal (BFS/DFS)</t>
        </is>
      </c>
      <c r="H249" s="2" t="inlineStr">
        <is>
          <t xml:space="preserve">Shortest path</t>
        </is>
      </c>
      <c r="I249" s="2" t="inlineStr">
        <is>
          <t xml:space="preserve">Maps, Queues, Pairs</t>
        </is>
      </c>
      <c r="J249" s="2" t="inlineStr">
        <is>
          <t xml:space="preserve">Map coordinates to node ids, BFS since every teleport costs the same</t>
        </is>
      </c>
      <c r="K249" s="2" t="inlineStr">
        <is>
          <t xml:space="preserve"/>
        </is>
      </c>
      <c r="L249" s="9" t="str">
        <f>HYPERLINK("https://arena.olimpiici.com/#/catalog/230/problem/100606","open problem")</f>
        <v>open problem</v>
      </c>
    </row>
    <row r="250">
      <c r="A250" s="2" t="inlineStr">
        <is>
          <t xml:space="preserve">seq</t>
        </is>
      </c>
      <c r="B250" s="2" t="inlineStr">
        <is>
          <t xml:space="preserve">NOI - National round</t>
        </is>
      </c>
      <c r="C250" s="8" t="inlineStr">
        <is>
          <t xml:space="preserve">C</t>
        </is>
      </c>
      <c r="D250" s="8">
        <v>2013</v>
      </c>
      <c r="E250" s="5">
        <v>3</v>
      </c>
      <c r="F250" s="2" t="inlineStr">
        <is>
          <t xml:space="preserve">Medium</t>
        </is>
      </c>
      <c r="G250" s="2" t="inlineStr">
        <is>
          <t xml:space="preserve">Ad hoc / Observation</t>
        </is>
      </c>
      <c r="H250" s="2" t="inlineStr">
        <is>
          <t xml:space="preserve">Math / Formula</t>
        </is>
      </c>
      <c r="I250" s="2" t="inlineStr">
        <is>
          <t xml:space="preserve">Arrays, Long long, Loops</t>
        </is>
      </c>
      <c r="J250" s="2" t="inlineStr">
        <is>
          <t xml:space="preserve">Adding 1 to all but one equals subtracting 1 from one: answer is sum - n*min</t>
        </is>
      </c>
      <c r="K250" s="2" t="inlineStr">
        <is>
          <t xml:space="preserve"/>
        </is>
      </c>
      <c r="L250" s="9" t="str">
        <f>HYPERLINK("https://arena.olimpiici.com/#/catalog/230/problem/100607","open problem")</f>
        <v>open problem</v>
      </c>
    </row>
    <row r="251">
      <c r="A251" s="2" t="inlineStr">
        <is>
          <t xml:space="preserve">codes</t>
        </is>
      </c>
      <c r="B251" s="2" t="inlineStr">
        <is>
          <t xml:space="preserve">NOI - National round</t>
        </is>
      </c>
      <c r="C251" s="8" t="inlineStr">
        <is>
          <t xml:space="preserve">C</t>
        </is>
      </c>
      <c r="D251" s="8">
        <v>2013</v>
      </c>
      <c r="E251" s="7">
        <v>5</v>
      </c>
      <c r="F251" s="2" t="inlineStr">
        <is>
          <t xml:space="preserve">Very hard</t>
        </is>
      </c>
      <c r="G251" s="2" t="inlineStr">
        <is>
          <t xml:space="preserve">Graph traversal (BFS/DFS)</t>
        </is>
      </c>
      <c r="H251" s="2" t="inlineStr">
        <is>
          <t xml:space="preserve">Constructive</t>
        </is>
      </c>
      <c r="I251" s="2" t="inlineStr">
        <is>
          <t xml:space="preserve">Vectors, Strings, Maps</t>
        </is>
      </c>
      <c r="J251" s="2" t="inlineStr">
        <is>
          <t xml:space="preserve">Shortest string containing all codes: Eulerian/De Bruijn style path over prefixes</t>
        </is>
      </c>
      <c r="K251" s="2" t="inlineStr">
        <is>
          <t xml:space="preserve"/>
        </is>
      </c>
      <c r="L251" s="9" t="str">
        <f>HYPERLINK("https://arena.olimpiici.com/#/catalog/230/problem/100608","open problem")</f>
        <v>open problem</v>
      </c>
    </row>
    <row r="252">
      <c r="A252" s="2" t="inlineStr">
        <is>
          <t xml:space="preserve">gmo</t>
        </is>
      </c>
      <c r="B252" s="2" t="inlineStr">
        <is>
          <t xml:space="preserve">NOI - National round</t>
        </is>
      </c>
      <c r="C252" s="8" t="inlineStr">
        <is>
          <t xml:space="preserve">C</t>
        </is>
      </c>
      <c r="D252" s="8">
        <v>2013</v>
      </c>
      <c r="E252" s="7">
        <v>5</v>
      </c>
      <c r="F252" s="2" t="inlineStr">
        <is>
          <t xml:space="preserve">Very hard</t>
        </is>
      </c>
      <c r="G252" s="2" t="inlineStr">
        <is>
          <t xml:space="preserve">Dynamic programming</t>
        </is>
      </c>
      <c r="H252" s="2" t="inlineStr">
        <is>
          <t xml:space="preserve">Greedy</t>
        </is>
      </c>
      <c r="I252" s="2" t="inlineStr">
        <is>
          <t xml:space="preserve">Arrays, Sorting, Long long</t>
        </is>
      </c>
      <c r="J252" s="2" t="inlineStr">
        <is>
          <t xml:space="preserve">Each carrot halves travel time: DP over which interval of carrots is collected</t>
        </is>
      </c>
      <c r="K252" s="2" t="inlineStr">
        <is>
          <t xml:space="preserve"/>
        </is>
      </c>
      <c r="L252" s="9" t="str">
        <f>HYPERLINK("https://arena.olimpiici.com/#/catalog/230/problem/100609","open problem")</f>
        <v>open problem</v>
      </c>
    </row>
    <row r="253">
      <c r="A253" s="2" t="inlineStr">
        <is>
          <t xml:space="preserve">perm</t>
        </is>
      </c>
      <c r="B253" s="2" t="inlineStr">
        <is>
          <t xml:space="preserve">NOI - National round</t>
        </is>
      </c>
      <c r="C253" s="8" t="inlineStr">
        <is>
          <t xml:space="preserve">C</t>
        </is>
      </c>
      <c r="D253" s="8">
        <v>2013</v>
      </c>
      <c r="E253" s="5">
        <v>3</v>
      </c>
      <c r="F253" s="2" t="inlineStr">
        <is>
          <t xml:space="preserve">Medium</t>
        </is>
      </c>
      <c r="G253" s="2" t="inlineStr">
        <is>
          <t xml:space="preserve">Greedy</t>
        </is>
      </c>
      <c r="H253" s="2" t="inlineStr">
        <is>
          <t xml:space="preserve">Constructive</t>
        </is>
      </c>
      <c r="I253" s="2" t="inlineStr">
        <is>
          <t xml:space="preserve">Arrays, Strings, Loops</t>
        </is>
      </c>
      <c r="J253" s="2" t="inlineStr">
        <is>
          <t xml:space="preserve">Write 1..N in order and reverse each maximal run of '&gt;' signs</t>
        </is>
      </c>
      <c r="K253" s="2" t="inlineStr">
        <is>
          <t xml:space="preserve"/>
        </is>
      </c>
      <c r="L253" s="9" t="str">
        <f>HYPERLINK("https://arena.olimpiici.com/#/catalog/230/problem/100610","open problem")</f>
        <v>open problem</v>
      </c>
    </row>
    <row r="254">
      <c r="A254" s="2" t="inlineStr">
        <is>
          <t xml:space="preserve">game2048</t>
        </is>
      </c>
      <c r="B254" s="2" t="inlineStr">
        <is>
          <t xml:space="preserve">NOI - National round</t>
        </is>
      </c>
      <c r="C254" s="8" t="inlineStr">
        <is>
          <t xml:space="preserve">C</t>
        </is>
      </c>
      <c r="D254" s="8">
        <v>2014</v>
      </c>
      <c r="E254" s="6">
        <v>4</v>
      </c>
      <c r="F254" s="2" t="inlineStr">
        <is>
          <t xml:space="preserve">Hard</t>
        </is>
      </c>
      <c r="G254" s="2" t="inlineStr">
        <is>
          <t xml:space="preserve">Graph traversal (BFS/DFS)</t>
        </is>
      </c>
      <c r="H254" s="2" t="inlineStr">
        <is>
          <t xml:space="preserve">Brute force</t>
        </is>
      </c>
      <c r="I254" s="2" t="inlineStr">
        <is>
          <t xml:space="preserve">2D arrays, Maps, Recursion</t>
        </is>
      </c>
      <c r="J254" s="2" t="inlineStr">
        <is>
          <t xml:space="preserve">BFS/DFS over board states for the best tile value and the fewest moves</t>
        </is>
      </c>
      <c r="K254" s="2" t="inlineStr">
        <is>
          <t xml:space="preserve"/>
        </is>
      </c>
      <c r="L254" s="9" t="str">
        <f>HYPERLINK("https://arena.olimpiici.com/#/catalog/235/problem/100629","open problem")</f>
        <v>open problem</v>
      </c>
    </row>
    <row r="255">
      <c r="A255" s="2" t="inlineStr">
        <is>
          <t xml:space="preserve">deletion</t>
        </is>
      </c>
      <c r="B255" s="2" t="inlineStr">
        <is>
          <t xml:space="preserve">NOI - National round</t>
        </is>
      </c>
      <c r="C255" s="8" t="inlineStr">
        <is>
          <t xml:space="preserve">C</t>
        </is>
      </c>
      <c r="D255" s="8">
        <v>2014</v>
      </c>
      <c r="E255" s="5">
        <v>3</v>
      </c>
      <c r="F255" s="2" t="inlineStr">
        <is>
          <t xml:space="preserve">Medium</t>
        </is>
      </c>
      <c r="G255" s="2" t="inlineStr">
        <is>
          <t xml:space="preserve">Dynamic programming</t>
        </is>
      </c>
      <c r="H255" s="2" t="inlineStr">
        <is>
          <t xml:space="preserve">Counting / Frequency arrays</t>
        </is>
      </c>
      <c r="I255" s="2" t="inlineStr">
        <is>
          <t xml:space="preserve">Strings, Long long, Arrays</t>
        </is>
      </c>
      <c r="J255" s="2" t="inlineStr">
        <is>
          <t xml:space="preserve">Subsequence-count DP for '2014' over the concatenation of 1..N</t>
        </is>
      </c>
      <c r="K255" s="2" t="inlineStr">
        <is>
          <t xml:space="preserve"/>
        </is>
      </c>
      <c r="L255" s="9" t="str">
        <f>HYPERLINK("https://arena.olimpiici.com/#/catalog/235/problem/100630","open problem")</f>
        <v>open problem</v>
      </c>
    </row>
    <row r="256">
      <c r="A256" s="2" t="inlineStr">
        <is>
          <t xml:space="preserve">fuel</t>
        </is>
      </c>
      <c r="B256" s="2" t="inlineStr">
        <is>
          <t xml:space="preserve">NOI - National round</t>
        </is>
      </c>
      <c r="C256" s="8" t="inlineStr">
        <is>
          <t xml:space="preserve">C</t>
        </is>
      </c>
      <c r="D256" s="8">
        <v>2014</v>
      </c>
      <c r="E256" s="6">
        <v>4</v>
      </c>
      <c r="F256" s="2" t="inlineStr">
        <is>
          <t xml:space="preserve">Hard</t>
        </is>
      </c>
      <c r="G256" s="2" t="inlineStr">
        <is>
          <t xml:space="preserve">Trees</t>
        </is>
      </c>
      <c r="H256" s="2" t="inlineStr">
        <is>
          <t xml:space="preserve">Graph traversal (BFS/DFS)</t>
        </is>
      </c>
      <c r="I256" s="2" t="inlineStr">
        <is>
          <t xml:space="preserve">Vectors, Recursion, Memory optimization</t>
        </is>
      </c>
      <c r="J256" s="2" t="inlineStr">
        <is>
          <t xml:space="preserve">Distance queries on a tree: root it, use depth sums and LCA within 16 MB</t>
        </is>
      </c>
      <c r="K256" s="2" t="inlineStr">
        <is>
          <t xml:space="preserve">Графи / Дървета; Advanced / LCA</t>
        </is>
      </c>
      <c r="L256" s="9" t="str">
        <f>HYPERLINK("https://arena.olimpiici.com/#/catalog/235/problem/100631","open problem")</f>
        <v>open problem</v>
      </c>
    </row>
    <row r="257">
      <c r="A257" s="2" t="inlineStr">
        <is>
          <t xml:space="preserve">exams</t>
        </is>
      </c>
      <c r="B257" s="2" t="inlineStr">
        <is>
          <t xml:space="preserve">NOI - National round</t>
        </is>
      </c>
      <c r="C257" s="8" t="inlineStr">
        <is>
          <t xml:space="preserve">C</t>
        </is>
      </c>
      <c r="D257" s="8">
        <v>2014</v>
      </c>
      <c r="E257" s="5">
        <v>3</v>
      </c>
      <c r="F257" s="2" t="inlineStr">
        <is>
          <t xml:space="preserve">Medium</t>
        </is>
      </c>
      <c r="G257" s="2" t="inlineStr">
        <is>
          <t xml:space="preserve">Binary search</t>
        </is>
      </c>
      <c r="H257" s="2" t="inlineStr">
        <is>
          <t xml:space="preserve">Greedy</t>
        </is>
      </c>
      <c r="I257" s="2" t="inlineStr">
        <is>
          <t xml:space="preserve">Arrays, Long long, Loops</t>
        </is>
      </c>
      <c r="J257" s="2" t="inlineStr">
        <is>
          <t xml:space="preserve">Binary search the days; score is sum of min(max_i, cur_i + days)</t>
        </is>
      </c>
      <c r="K257" s="2" t="inlineStr">
        <is>
          <t xml:space="preserve">Двоично търсене по отговора (binary search); Двоично търсене (binary search)</t>
        </is>
      </c>
      <c r="L257" s="9" t="str">
        <f>HYPERLINK("https://arena.olimpiici.com/#/catalog/235/problem/100632","open problem")</f>
        <v>open problem</v>
      </c>
    </row>
    <row r="258">
      <c r="A258" s="2" t="inlineStr">
        <is>
          <t xml:space="preserve">jumps</t>
        </is>
      </c>
      <c r="B258" s="2" t="inlineStr">
        <is>
          <t xml:space="preserve">NOI - National round</t>
        </is>
      </c>
      <c r="C258" s="8" t="inlineStr">
        <is>
          <t xml:space="preserve">C</t>
        </is>
      </c>
      <c r="D258" s="8">
        <v>2014</v>
      </c>
      <c r="E258" s="5">
        <v>3</v>
      </c>
      <c r="F258" s="2" t="inlineStr">
        <is>
          <t xml:space="preserve">Medium</t>
        </is>
      </c>
      <c r="G258" s="2" t="inlineStr">
        <is>
          <t xml:space="preserve">Dynamic programming</t>
        </is>
      </c>
      <c r="H258" s="2" t="inlineStr">
        <is>
          <t xml:space="preserve">Prefix sums</t>
        </is>
      </c>
      <c r="I258" s="2" t="inlineStr">
        <is>
          <t xml:space="preserve">Arrays, 2D arrays, Long long</t>
        </is>
      </c>
      <c r="J258" s="2" t="inlineStr">
        <is>
          <t xml:space="preserve">DP over (position, was last jump double) tracking the best running sum</t>
        </is>
      </c>
      <c r="K258" s="2" t="inlineStr">
        <is>
          <t xml:space="preserve">Динамично програмиране (Dynamic programming)</t>
        </is>
      </c>
      <c r="L258" s="9" t="str">
        <f>HYPERLINK("https://arena.olimpiici.com/#/catalog/235/problem/100633","open problem")</f>
        <v>open problem</v>
      </c>
    </row>
    <row r="259">
      <c r="A259" s="2" t="inlineStr">
        <is>
          <t xml:space="preserve">magical</t>
        </is>
      </c>
      <c r="B259" s="2" t="inlineStr">
        <is>
          <t xml:space="preserve">NOI - National round</t>
        </is>
      </c>
      <c r="C259" s="8" t="inlineStr">
        <is>
          <t xml:space="preserve">C</t>
        </is>
      </c>
      <c r="D259" s="8">
        <v>2014</v>
      </c>
      <c r="E259" s="6">
        <v>4</v>
      </c>
      <c r="F259" s="2" t="inlineStr">
        <is>
          <t xml:space="preserve">Hard</t>
        </is>
      </c>
      <c r="G259" s="2" t="inlineStr">
        <is>
          <t xml:space="preserve">Two pointers / Sliding window</t>
        </is>
      </c>
      <c r="H259" s="2" t="inlineStr">
        <is>
          <t xml:space="preserve">Sorting</t>
        </is>
      </c>
      <c r="I259" s="2" t="inlineStr">
        <is>
          <t xml:space="preserve">Sorting, Two pointers, Arrays</t>
        </is>
      </c>
      <c r="J259" s="2" t="inlineStr">
        <is>
          <t xml:space="preserve">Sort all four lists and sweep a window that must contain one item of each type</t>
        </is>
      </c>
      <c r="K259" s="2" t="inlineStr">
        <is>
          <t xml:space="preserve"/>
        </is>
      </c>
      <c r="L259" s="9" t="str">
        <f>HYPERLINK("https://arena.olimpiici.com/#/catalog/235/problem/100634","open problem")</f>
        <v>open problem</v>
      </c>
    </row>
    <row r="260">
      <c r="A260" s="2" t="inlineStr">
        <is>
          <t xml:space="preserve">cham</t>
        </is>
      </c>
      <c r="B260" s="2" t="inlineStr">
        <is>
          <t xml:space="preserve">NOI - National round</t>
        </is>
      </c>
      <c r="C260" s="8" t="inlineStr">
        <is>
          <t xml:space="preserve">C</t>
        </is>
      </c>
      <c r="D260" s="8">
        <v>2015</v>
      </c>
      <c r="E260" s="6">
        <v>4</v>
      </c>
      <c r="F260" s="2" t="inlineStr">
        <is>
          <t xml:space="preserve">Hard</t>
        </is>
      </c>
      <c r="G260" s="2" t="inlineStr">
        <is>
          <t xml:space="preserve">Greedy</t>
        </is>
      </c>
      <c r="H260" s="2" t="inlineStr">
        <is>
          <t xml:space="preserve">Sorting</t>
        </is>
      </c>
      <c r="I260" s="2" t="inlineStr">
        <is>
          <t xml:space="preserve">Sorting, Arrays, Long long</t>
        </is>
      </c>
      <c r="J260" s="2" t="inlineStr">
        <is>
          <t xml:space="preserve">Each shot shifts the others: eat flies in the right order to minimise total energy</t>
        </is>
      </c>
      <c r="K260" s="2" t="inlineStr">
        <is>
          <t xml:space="preserve">Greedy</t>
        </is>
      </c>
      <c r="L260" s="9" t="str">
        <f>HYPERLINK("https://arena.olimpiici.com/#/catalog/240/problem/100653","open problem")</f>
        <v>open problem</v>
      </c>
    </row>
    <row r="261">
      <c r="A261" s="2" t="inlineStr">
        <is>
          <t xml:space="preserve">dictionary</t>
        </is>
      </c>
      <c r="B261" s="2" t="inlineStr">
        <is>
          <t xml:space="preserve">NOI - National round</t>
        </is>
      </c>
      <c r="C261" s="8" t="inlineStr">
        <is>
          <t xml:space="preserve">C</t>
        </is>
      </c>
      <c r="D261" s="8">
        <v>2015</v>
      </c>
      <c r="E261" s="6">
        <v>4</v>
      </c>
      <c r="F261" s="2" t="inlineStr">
        <is>
          <t xml:space="preserve">Hard</t>
        </is>
      </c>
      <c r="G261" s="2" t="inlineStr">
        <is>
          <t xml:space="preserve">Dynamic programming</t>
        </is>
      </c>
      <c r="H261" s="2" t="inlineStr">
        <is>
          <t xml:space="preserve">String processing</t>
        </is>
      </c>
      <c r="I261" s="2" t="inlineStr">
        <is>
          <t xml:space="preserve">Strings, 2D arrays, Vectors</t>
        </is>
      </c>
      <c r="J261" s="2" t="inlineStr">
        <is>
          <t xml:space="preserve">Word-break DP minimising word count, tie-broken by shortest leading words</t>
        </is>
      </c>
      <c r="K261" s="2" t="inlineStr">
        <is>
          <t xml:space="preserve">Динамично програмиране (Dynamic programming); Графи / Търсене в ширина (BFS)</t>
        </is>
      </c>
      <c r="L261" s="9" t="str">
        <f>HYPERLINK("https://arena.olimpiici.com/#/catalog/240/problem/100654","open problem")</f>
        <v>open problem</v>
      </c>
    </row>
    <row r="262">
      <c r="A262" s="2" t="inlineStr">
        <is>
          <t xml:space="preserve">easy</t>
        </is>
      </c>
      <c r="B262" s="2" t="inlineStr">
        <is>
          <t xml:space="preserve">NOI - National round</t>
        </is>
      </c>
      <c r="C262" s="8" t="inlineStr">
        <is>
          <t xml:space="preserve">C</t>
        </is>
      </c>
      <c r="D262" s="8">
        <v>2015</v>
      </c>
      <c r="E262" s="6">
        <v>4</v>
      </c>
      <c r="F262" s="2" t="inlineStr">
        <is>
          <t xml:space="preserve">Hard</t>
        </is>
      </c>
      <c r="G262" s="2" t="inlineStr">
        <is>
          <t xml:space="preserve">Implementation / Simulation</t>
        </is>
      </c>
      <c r="H262" s="2" t="inlineStr">
        <is>
          <t xml:space="preserve">String processing</t>
        </is>
      </c>
      <c r="I262" s="2" t="inlineStr">
        <is>
          <t xml:space="preserve">Strings, Arrays, I/O parsing</t>
        </is>
      </c>
      <c r="J262" s="2" t="inlineStr">
        <is>
          <t xml:space="preserve">Interpret a tiny register language with jumps, arithmetic mod 1000</t>
        </is>
      </c>
      <c r="K262" s="2" t="inlineStr">
        <is>
          <t xml:space="preserve"/>
        </is>
      </c>
      <c r="L262" s="9" t="str">
        <f>HYPERLINK("https://arena.olimpiici.com/#/catalog/240/problem/100655","open problem")</f>
        <v>open problem</v>
      </c>
    </row>
    <row r="263">
      <c r="A263" s="2" t="inlineStr">
        <is>
          <t xml:space="preserve">cover</t>
        </is>
      </c>
      <c r="B263" s="2" t="inlineStr">
        <is>
          <t xml:space="preserve">NOI - National round</t>
        </is>
      </c>
      <c r="C263" s="8" t="inlineStr">
        <is>
          <t xml:space="preserve">C</t>
        </is>
      </c>
      <c r="D263" s="8">
        <v>2015</v>
      </c>
      <c r="E263" s="7">
        <v>5</v>
      </c>
      <c r="F263" s="2" t="inlineStr">
        <is>
          <t xml:space="preserve">Very hard</t>
        </is>
      </c>
      <c r="G263" s="2" t="inlineStr">
        <is>
          <t xml:space="preserve">Constructive</t>
        </is>
      </c>
      <c r="H263" s="2" t="inlineStr">
        <is>
          <t xml:space="preserve">Data structures</t>
        </is>
      </c>
      <c r="I263" s="2" t="inlineStr">
        <is>
          <t xml:space="preserve">Arrays, Stacks, Vectors</t>
        </is>
      </c>
      <c r="J263" s="2" t="inlineStr">
        <is>
          <t xml:space="preserve">Rebuild the tower heights from the cover counts, inserting values by rank</t>
        </is>
      </c>
      <c r="K263" s="2" t="inlineStr">
        <is>
          <t xml:space="preserve"/>
        </is>
      </c>
      <c r="L263" s="9" t="str">
        <f>HYPERLINK("https://arena.olimpiici.com/#/catalog/240/problem/100656","open problem")</f>
        <v>open problem</v>
      </c>
    </row>
    <row r="264">
      <c r="A264" s="2" t="inlineStr">
        <is>
          <t xml:space="preserve">guess</t>
        </is>
      </c>
      <c r="B264" s="2" t="inlineStr">
        <is>
          <t xml:space="preserve">NOI - National round</t>
        </is>
      </c>
      <c r="C264" s="8" t="inlineStr">
        <is>
          <t xml:space="preserve">C</t>
        </is>
      </c>
      <c r="D264" s="8">
        <v>2015</v>
      </c>
      <c r="E264" s="6">
        <v>4</v>
      </c>
      <c r="F264" s="2" t="inlineStr">
        <is>
          <t xml:space="preserve">Hard</t>
        </is>
      </c>
      <c r="G264" s="2" t="inlineStr">
        <is>
          <t xml:space="preserve">Number theory</t>
        </is>
      </c>
      <c r="H264" s="2" t="inlineStr">
        <is>
          <t xml:space="preserve">Math / Formula</t>
        </is>
      </c>
      <c r="I264" s="2" t="inlineStr">
        <is>
          <t xml:space="preserve">Math, Long long, Arrays</t>
        </is>
      </c>
      <c r="J264" s="2" t="inlineStr">
        <is>
          <t xml:space="preserve">Valid moduli divide gcd(X_i - Y_i) and exceed every Y_i: enumerate those divisors</t>
        </is>
      </c>
      <c r="K264" s="2" t="inlineStr">
        <is>
          <t xml:space="preserve">Математика / НОД - Алгоритъм на Евклид</t>
        </is>
      </c>
      <c r="L264" s="9" t="str">
        <f>HYPERLINK("https://arena.olimpiici.com/#/catalog/240/problem/100657","open problem")</f>
        <v>open problem</v>
      </c>
    </row>
    <row r="265">
      <c r="A265" s="2" t="inlineStr">
        <is>
          <t xml:space="preserve">segments</t>
        </is>
      </c>
      <c r="B265" s="2" t="inlineStr">
        <is>
          <t xml:space="preserve">NOI - National round</t>
        </is>
      </c>
      <c r="C265" s="8" t="inlineStr">
        <is>
          <t xml:space="preserve">C</t>
        </is>
      </c>
      <c r="D265" s="8">
        <v>2015</v>
      </c>
      <c r="E265" s="6">
        <v>4</v>
      </c>
      <c r="F265" s="2" t="inlineStr">
        <is>
          <t xml:space="preserve">Hard</t>
        </is>
      </c>
      <c r="G265" s="2" t="inlineStr">
        <is>
          <t xml:space="preserve">Sorting</t>
        </is>
      </c>
      <c r="H265" s="2" t="inlineStr">
        <is>
          <t xml:space="preserve">Math / Formula</t>
        </is>
      </c>
      <c r="I265" s="2" t="inlineStr">
        <is>
          <t xml:space="preserve">Sorting, Pairs, Long long</t>
        </is>
      </c>
      <c r="J265" s="2" t="inlineStr">
        <is>
          <t xml:space="preserve">Turn each rational interval into integer bounds with floor/ceil, then merge them</t>
        </is>
      </c>
      <c r="K265" s="2" t="inlineStr">
        <is>
          <t xml:space="preserve"/>
        </is>
      </c>
      <c r="L265" s="9" t="str">
        <f>HYPERLINK("https://arena.olimpiici.com/#/catalog/240/problem/100658","open problem")</f>
        <v>open problem</v>
      </c>
    </row>
    <row r="266">
      <c r="A266" s="2" t="inlineStr">
        <is>
          <t xml:space="preserve">binpal</t>
        </is>
      </c>
      <c r="B266" s="2" t="inlineStr">
        <is>
          <t xml:space="preserve">NOI - National round</t>
        </is>
      </c>
      <c r="C266" s="8" t="inlineStr">
        <is>
          <t xml:space="preserve">C</t>
        </is>
      </c>
      <c r="D266" s="8">
        <v>2016</v>
      </c>
      <c r="E266" s="6">
        <v>4</v>
      </c>
      <c r="F266" s="2" t="inlineStr">
        <is>
          <t xml:space="preserve">Hard</t>
        </is>
      </c>
      <c r="G266" s="2" t="inlineStr">
        <is>
          <t xml:space="preserve">Combinatorics</t>
        </is>
      </c>
      <c r="H266" s="2" t="inlineStr">
        <is>
          <t xml:space="preserve">Bit manipulation</t>
        </is>
      </c>
      <c r="I266" s="2" t="inlineStr">
        <is>
          <t xml:space="preserve">Bitmask, Long long, Math</t>
        </is>
      </c>
      <c r="J266" s="2" t="inlineStr">
        <is>
          <t xml:space="preserve">Count binary palindromes up to y minus up to x-1 by choosing the free half bits</t>
        </is>
      </c>
      <c r="K266" s="2" t="inlineStr">
        <is>
          <t xml:space="preserve">Динамично програмиране (Dynamic programming); DP - Брой числа в интервал</t>
        </is>
      </c>
      <c r="L266" s="9" t="str">
        <f>HYPERLINK("https://arena.olimpiici.com/#/catalog/245/problem/100677","open problem")</f>
        <v>open problem</v>
      </c>
    </row>
    <row r="267">
      <c r="A267" s="2" t="inlineStr">
        <is>
          <t xml:space="preserve">lines</t>
        </is>
      </c>
      <c r="B267" s="2" t="inlineStr">
        <is>
          <t xml:space="preserve">NOI - National round</t>
        </is>
      </c>
      <c r="C267" s="8" t="inlineStr">
        <is>
          <t xml:space="preserve">C</t>
        </is>
      </c>
      <c r="D267" s="8">
        <v>2016</v>
      </c>
      <c r="E267" s="7">
        <v>5</v>
      </c>
      <c r="F267" s="2" t="inlineStr">
        <is>
          <t xml:space="preserve">Very hard</t>
        </is>
      </c>
      <c r="G267" s="2" t="inlineStr">
        <is>
          <t xml:space="preserve">Combinatorics</t>
        </is>
      </c>
      <c r="H267" s="2" t="inlineStr">
        <is>
          <t xml:space="preserve">Dynamic programming</t>
        </is>
      </c>
      <c r="I267" s="2" t="inlineStr">
        <is>
          <t xml:space="preserve">Modular arithmetic, 2D arrays, Math</t>
        </is>
      </c>
      <c r="J267" s="2" t="inlineStr">
        <is>
          <t xml:space="preserve">Count non-self-intersecting broken lines between two vertices of a regular n-gon</t>
        </is>
      </c>
      <c r="K267" s="2" t="inlineStr">
        <is>
          <t xml:space="preserve">Донка Капралова</t>
        </is>
      </c>
      <c r="L267" s="9" t="str">
        <f>HYPERLINK("https://arena.olimpiici.com/#/catalog/245/problem/100678","open problem")</f>
        <v>open problem</v>
      </c>
    </row>
    <row r="268">
      <c r="A268" s="2" t="inlineStr">
        <is>
          <t xml:space="preserve">fence</t>
        </is>
      </c>
      <c r="B268" s="2" t="inlineStr">
        <is>
          <t xml:space="preserve">NOI - National round</t>
        </is>
      </c>
      <c r="C268" s="8" t="inlineStr">
        <is>
          <t xml:space="preserve">C</t>
        </is>
      </c>
      <c r="D268" s="8">
        <v>2016</v>
      </c>
      <c r="E268" s="7">
        <v>5</v>
      </c>
      <c r="F268" s="2" t="inlineStr">
        <is>
          <t xml:space="preserve">Very hard</t>
        </is>
      </c>
      <c r="G268" s="2" t="inlineStr">
        <is>
          <t xml:space="preserve">Binary search</t>
        </is>
      </c>
      <c r="H268" s="2" t="inlineStr">
        <is>
          <t xml:space="preserve">Greedy</t>
        </is>
      </c>
      <c r="I268" s="2" t="inlineStr">
        <is>
          <t xml:space="preserve">Sorting, Arrays, Long long</t>
        </is>
      </c>
      <c r="J268" s="2" t="inlineStr">
        <is>
          <t xml:space="preserve">Binary search x, then check greedily that all n friends can each paint x fresh boards</t>
        </is>
      </c>
      <c r="K268" s="2" t="inlineStr">
        <is>
          <t xml:space="preserve">Двоично търсене по отговора (binary search)</t>
        </is>
      </c>
      <c r="L268" s="9" t="str">
        <f>HYPERLINK("https://arena.olimpiici.com/#/catalog/245/problem/100679","open problem")</f>
        <v>open problem</v>
      </c>
    </row>
    <row r="269">
      <c r="A269" s="2" t="inlineStr">
        <is>
          <t xml:space="preserve">lift</t>
        </is>
      </c>
      <c r="B269" s="2" t="inlineStr">
        <is>
          <t xml:space="preserve">NOI - National round</t>
        </is>
      </c>
      <c r="C269" s="8" t="inlineStr">
        <is>
          <t xml:space="preserve">C</t>
        </is>
      </c>
      <c r="D269" s="8">
        <v>2016</v>
      </c>
      <c r="E269" s="6">
        <v>4</v>
      </c>
      <c r="F269" s="2" t="inlineStr">
        <is>
          <t xml:space="preserve">Hard</t>
        </is>
      </c>
      <c r="G269" s="2" t="inlineStr">
        <is>
          <t xml:space="preserve">Shortest path</t>
        </is>
      </c>
      <c r="H269" s="2" t="inlineStr">
        <is>
          <t xml:space="preserve">Graph traversal (BFS/DFS)</t>
        </is>
      </c>
      <c r="I269" s="2" t="inlineStr">
        <is>
          <t xml:space="preserve">Priority queue, Vectors, Maps</t>
        </is>
      </c>
      <c r="J269" s="2" t="inlineStr">
        <is>
          <t xml:space="preserve">Dijkstra over the floors that matter, with stair costs and elevator entry/exit fees</t>
        </is>
      </c>
      <c r="K269" s="2" t="inlineStr">
        <is>
          <t xml:space="preserve">Графи / Дървета; Графи / Дейкстра (Dijkstra)</t>
        </is>
      </c>
      <c r="L269" s="9" t="str">
        <f>HYPERLINK("https://arena.olimpiici.com/#/catalog/245/problem/100680","open problem")</f>
        <v>open problem</v>
      </c>
    </row>
    <row r="270">
      <c r="A270" s="2" t="inlineStr">
        <is>
          <t xml:space="preserve">perm</t>
        </is>
      </c>
      <c r="B270" s="2" t="inlineStr">
        <is>
          <t xml:space="preserve">NOI - National round</t>
        </is>
      </c>
      <c r="C270" s="8" t="inlineStr">
        <is>
          <t xml:space="preserve">C</t>
        </is>
      </c>
      <c r="D270" s="8">
        <v>2016</v>
      </c>
      <c r="E270" s="6">
        <v>4</v>
      </c>
      <c r="F270" s="2" t="inlineStr">
        <is>
          <t xml:space="preserve">Hard</t>
        </is>
      </c>
      <c r="G270" s="2" t="inlineStr">
        <is>
          <t xml:space="preserve">Combinatorics</t>
        </is>
      </c>
      <c r="H270" s="2" t="inlineStr">
        <is>
          <t xml:space="preserve">Constructive</t>
        </is>
      </c>
      <c r="I270" s="2" t="inlineStr">
        <is>
          <t xml:space="preserve">Long long, Arrays, Recursion</t>
        </is>
      </c>
      <c r="J270" s="2" t="inlineStr">
        <is>
          <t xml:space="preserve">Count involutions with the I(n)=I(n-1)+(n-1)I(n-2) recurrence to build the k-th one</t>
        </is>
      </c>
      <c r="K270" s="2" t="inlineStr">
        <is>
          <t xml:space="preserve"/>
        </is>
      </c>
      <c r="L270" s="9" t="str">
        <f>HYPERLINK("https://arena.olimpiici.com/#/catalog/245/problem/100681","open problem")</f>
        <v>open problem</v>
      </c>
    </row>
    <row r="271">
      <c r="A271" s="2" t="inlineStr">
        <is>
          <t xml:space="preserve">maxrow</t>
        </is>
      </c>
      <c r="B271" s="2" t="inlineStr">
        <is>
          <t xml:space="preserve">NOI - National round</t>
        </is>
      </c>
      <c r="C271" s="8" t="inlineStr">
        <is>
          <t xml:space="preserve">C</t>
        </is>
      </c>
      <c r="D271" s="8">
        <v>2016</v>
      </c>
      <c r="E271" s="6">
        <v>4</v>
      </c>
      <c r="F271" s="2" t="inlineStr">
        <is>
          <t xml:space="preserve">Hard</t>
        </is>
      </c>
      <c r="G271" s="2" t="inlineStr">
        <is>
          <t xml:space="preserve">Dynamic programming</t>
        </is>
      </c>
      <c r="H271" s="2" t="inlineStr">
        <is>
          <t xml:space="preserve">String processing</t>
        </is>
      </c>
      <c r="I271" s="2" t="inlineStr">
        <is>
          <t xml:space="preserve">Strings, 2D arrays, Vectors</t>
        </is>
      </c>
      <c r="J271" s="2" t="inlineStr">
        <is>
          <t xml:space="preserve">DP over split points keeping the non-decreasing condition and no leading zeros</t>
        </is>
      </c>
      <c r="K271" s="2" t="inlineStr">
        <is>
          <t xml:space="preserve"/>
        </is>
      </c>
      <c r="L271" s="9" t="str">
        <f>HYPERLINK("https://arena.olimpiici.com/#/catalog/245/problem/100682","open problem")</f>
        <v>open problem</v>
      </c>
    </row>
    <row r="272">
      <c r="A272" s="2" t="inlineStr">
        <is>
          <t xml:space="preserve">binfract</t>
        </is>
      </c>
      <c r="B272" s="2" t="inlineStr">
        <is>
          <t xml:space="preserve">NOI - National round</t>
        </is>
      </c>
      <c r="C272" s="8" t="inlineStr">
        <is>
          <t xml:space="preserve">C</t>
        </is>
      </c>
      <c r="D272" s="8">
        <v>2017</v>
      </c>
      <c r="E272" s="5">
        <v>3</v>
      </c>
      <c r="F272" s="2" t="inlineStr">
        <is>
          <t xml:space="preserve">Medium</t>
        </is>
      </c>
      <c r="G272" s="2" t="inlineStr">
        <is>
          <t xml:space="preserve">Math / Formula</t>
        </is>
      </c>
      <c r="H272" s="2" t="inlineStr">
        <is>
          <t xml:space="preserve">Implementation / Simulation</t>
        </is>
      </c>
      <c r="I272" s="2" t="inlineStr">
        <is>
          <t xml:space="preserve">Strings, Math, Loops</t>
        </is>
      </c>
      <c r="J272" s="2" t="inlineStr">
        <is>
          <t xml:space="preserve">Repeated doubling of the fraction part, detect the repeating cycle for the period</t>
        </is>
      </c>
      <c r="K272" s="2" t="inlineStr">
        <is>
          <t xml:space="preserve"/>
        </is>
      </c>
      <c r="L272" s="9" t="str">
        <f>HYPERLINK("https://arena.olimpiici.com/#/catalog/250/problem/100701","open problem")</f>
        <v>open problem</v>
      </c>
    </row>
    <row r="273">
      <c r="A273" s="2" t="inlineStr">
        <is>
          <t xml:space="preserve">comp</t>
        </is>
      </c>
      <c r="B273" s="2" t="inlineStr">
        <is>
          <t xml:space="preserve">NOI - National round</t>
        </is>
      </c>
      <c r="C273" s="8" t="inlineStr">
        <is>
          <t xml:space="preserve">C</t>
        </is>
      </c>
      <c r="D273" s="8">
        <v>2017</v>
      </c>
      <c r="E273" s="4">
        <v>2</v>
      </c>
      <c r="F273" s="2" t="inlineStr">
        <is>
          <t xml:space="preserve">Easy</t>
        </is>
      </c>
      <c r="G273" s="2" t="inlineStr">
        <is>
          <t xml:space="preserve">Counting / Frequency arrays</t>
        </is>
      </c>
      <c r="H273" s="2" t="inlineStr">
        <is>
          <t xml:space="preserve">Sorting</t>
        </is>
      </c>
      <c r="I273" s="2" t="inlineStr">
        <is>
          <t xml:space="preserve">Counting array, Strings, Sorting</t>
        </is>
      </c>
      <c r="J273" s="2" t="inlineStr">
        <is>
          <t xml:space="preserve">Weighted vote counting per song, tie-broken by first-place votes</t>
        </is>
      </c>
      <c r="K273" s="2" t="inlineStr">
        <is>
          <t xml:space="preserve"/>
        </is>
      </c>
      <c r="L273" s="9" t="str">
        <f>HYPERLINK("https://arena.olimpiici.com/#/catalog/250/problem/100702","open problem")</f>
        <v>open problem</v>
      </c>
    </row>
    <row r="274">
      <c r="A274" s="2" t="inlineStr">
        <is>
          <t xml:space="preserve">damage</t>
        </is>
      </c>
      <c r="B274" s="2" t="inlineStr">
        <is>
          <t xml:space="preserve">NOI - National round</t>
        </is>
      </c>
      <c r="C274" s="8" t="inlineStr">
        <is>
          <t xml:space="preserve">C</t>
        </is>
      </c>
      <c r="D274" s="8">
        <v>2017</v>
      </c>
      <c r="E274" s="6">
        <v>4</v>
      </c>
      <c r="F274" s="2" t="inlineStr">
        <is>
          <t xml:space="preserve">Hard</t>
        </is>
      </c>
      <c r="G274" s="2" t="inlineStr">
        <is>
          <t xml:space="preserve">Shortest path</t>
        </is>
      </c>
      <c r="H274" s="2" t="inlineStr">
        <is>
          <t xml:space="preserve">Dynamic programming</t>
        </is>
      </c>
      <c r="I274" s="2" t="inlineStr">
        <is>
          <t xml:space="preserve">Priority queue, 2D arrays, Long long</t>
        </is>
      </c>
      <c r="J274" s="2" t="inlineStr">
        <is>
          <t xml:space="preserve">Dijkstra/DP over hexagon tiles where the no-sharp-turn rule limits the moves</t>
        </is>
      </c>
      <c r="K274" s="2" t="inlineStr">
        <is>
          <t xml:space="preserve">Графи; Графи / Дейкстра (Dijkstra)</t>
        </is>
      </c>
      <c r="L274" s="9" t="str">
        <f>HYPERLINK("https://arena.olimpiici.com/#/catalog/250/problem/100703","open problem")</f>
        <v>open problem</v>
      </c>
    </row>
    <row r="275">
      <c r="A275" s="2" t="inlineStr">
        <is>
          <t xml:space="preserve">saw</t>
        </is>
      </c>
      <c r="B275" s="2" t="inlineStr">
        <is>
          <t xml:space="preserve">NOI - National round</t>
        </is>
      </c>
      <c r="C275" s="8" t="inlineStr">
        <is>
          <t xml:space="preserve">C</t>
        </is>
      </c>
      <c r="D275" s="8">
        <v>2017</v>
      </c>
      <c r="E275" s="5">
        <v>3</v>
      </c>
      <c r="F275" s="2" t="inlineStr">
        <is>
          <t xml:space="preserve">Medium</t>
        </is>
      </c>
      <c r="G275" s="2" t="inlineStr">
        <is>
          <t xml:space="preserve">Dynamic programming</t>
        </is>
      </c>
      <c r="H275" s="2" t="inlineStr">
        <is>
          <t xml:space="preserve">Combinatorics</t>
        </is>
      </c>
      <c r="I275" s="2" t="inlineStr">
        <is>
          <t xml:space="preserve">2D arrays, Long long, Loops</t>
        </is>
      </c>
      <c r="J275" s="2" t="inlineStr">
        <is>
          <t xml:space="preserve">DP over (length, last digit, direction) counting zigzag numbers</t>
        </is>
      </c>
      <c r="K275" s="2" t="inlineStr">
        <is>
          <t xml:space="preserve">Динамично програмиране (Dynamic programming)</t>
        </is>
      </c>
      <c r="L275" s="9" t="str">
        <f>HYPERLINK("https://arena.olimpiici.com/#/catalog/250/problem/100704","open problem")</f>
        <v>open problem</v>
      </c>
    </row>
    <row r="276">
      <c r="A276" s="2" t="inlineStr">
        <is>
          <t xml:space="preserve">pairs</t>
        </is>
      </c>
      <c r="B276" s="2" t="inlineStr">
        <is>
          <t xml:space="preserve">NOI - National round</t>
        </is>
      </c>
      <c r="C276" s="8" t="inlineStr">
        <is>
          <t xml:space="preserve">C</t>
        </is>
      </c>
      <c r="D276" s="8">
        <v>2017</v>
      </c>
      <c r="E276" s="5">
        <v>3</v>
      </c>
      <c r="F276" s="2" t="inlineStr">
        <is>
          <t xml:space="preserve">Medium</t>
        </is>
      </c>
      <c r="G276" s="2" t="inlineStr">
        <is>
          <t xml:space="preserve">Hashing / Maps</t>
        </is>
      </c>
      <c r="H276" s="2" t="inlineStr">
        <is>
          <t xml:space="preserve">Brute force</t>
        </is>
      </c>
      <c r="I276" s="2" t="inlineStr">
        <is>
          <t xml:space="preserve">Maps, Nested loops, Long long</t>
        </is>
      </c>
      <c r="J276" s="2" t="inlineStr">
        <is>
          <t xml:space="preserve">Hash all N^2/2 pairwise products, report the most frequent values and their pairs</t>
        </is>
      </c>
      <c r="K276" s="2" t="inlineStr">
        <is>
          <t xml:space="preserve"/>
        </is>
      </c>
      <c r="L276" s="9" t="str">
        <f>HYPERLINK("https://arena.olimpiici.com/#/catalog/250/problem/100705","open problem")</f>
        <v>open problem</v>
      </c>
    </row>
    <row r="277">
      <c r="A277" s="2" t="inlineStr">
        <is>
          <t xml:space="preserve">rect</t>
        </is>
      </c>
      <c r="B277" s="2" t="inlineStr">
        <is>
          <t xml:space="preserve">NOI - National round</t>
        </is>
      </c>
      <c r="C277" s="8" t="inlineStr">
        <is>
          <t xml:space="preserve">C</t>
        </is>
      </c>
      <c r="D277" s="8">
        <v>2017</v>
      </c>
      <c r="E277" s="7">
        <v>5</v>
      </c>
      <c r="F277" s="2" t="inlineStr">
        <is>
          <t xml:space="preserve">Very hard</t>
        </is>
      </c>
      <c r="G277" s="2" t="inlineStr">
        <is>
          <t xml:space="preserve">Sorting</t>
        </is>
      </c>
      <c r="H277" s="2" t="inlineStr">
        <is>
          <t xml:space="preserve">Data structures</t>
        </is>
      </c>
      <c r="I277" s="2" t="inlineStr">
        <is>
          <t xml:space="preserve">Sorting, Structs, Long long</t>
        </is>
      </c>
      <c r="J277" s="2" t="inlineStr">
        <is>
          <t xml:space="preserve">Sweep line over rectangle edges to merge touching regions and total their areas</t>
        </is>
      </c>
      <c r="K277" s="2" t="inlineStr">
        <is>
          <t xml:space="preserve"/>
        </is>
      </c>
      <c r="L277" s="9" t="str">
        <f>HYPERLINK("https://arena.olimpiici.com/#/catalog/250/problem/100706","open problem")</f>
        <v>open problem</v>
      </c>
    </row>
    <row r="278">
      <c r="A278" s="2" t="inlineStr">
        <is>
          <t xml:space="preserve">password</t>
        </is>
      </c>
      <c r="B278" s="2" t="inlineStr">
        <is>
          <t xml:space="preserve">NOI - National round</t>
        </is>
      </c>
      <c r="C278" s="8" t="inlineStr">
        <is>
          <t xml:space="preserve">C</t>
        </is>
      </c>
      <c r="D278" s="8">
        <v>2018</v>
      </c>
      <c r="E278" s="5">
        <v>3</v>
      </c>
      <c r="F278" s="2" t="inlineStr">
        <is>
          <t xml:space="preserve">Medium</t>
        </is>
      </c>
      <c r="G278" s="2" t="inlineStr">
        <is>
          <t xml:space="preserve">Greedy</t>
        </is>
      </c>
      <c r="H278" s="2" t="inlineStr">
        <is>
          <t xml:space="preserve">Data structures</t>
        </is>
      </c>
      <c r="I278" s="2" t="inlineStr">
        <is>
          <t xml:space="preserve">Stacks, Strings, Chars</t>
        </is>
      </c>
      <c r="J278" s="2" t="inlineStr">
        <is>
          <t xml:space="preserve">Monotonic stack: drop a digit whenever a bigger one follows, K times</t>
        </is>
      </c>
      <c r="K278" s="2" t="inlineStr">
        <is>
          <t xml:space="preserve">STL / Стек (stack); Броене с масив (counting)</t>
        </is>
      </c>
      <c r="L278" s="9" t="str">
        <f>HYPERLINK("https://arena.olimpiici.com/#/catalog/254/problem/100719","open problem")</f>
        <v>open problem</v>
      </c>
    </row>
    <row r="279">
      <c r="A279" s="2" t="inlineStr">
        <is>
          <t xml:space="preserve">maxpro</t>
        </is>
      </c>
      <c r="B279" s="2" t="inlineStr">
        <is>
          <t xml:space="preserve">NOI - National round</t>
        </is>
      </c>
      <c r="C279" s="8" t="inlineStr">
        <is>
          <t xml:space="preserve">C</t>
        </is>
      </c>
      <c r="D279" s="8">
        <v>2018</v>
      </c>
      <c r="E279" s="5">
        <v>3</v>
      </c>
      <c r="F279" s="2" t="inlineStr">
        <is>
          <t xml:space="preserve">Medium</t>
        </is>
      </c>
      <c r="G279" s="2" t="inlineStr">
        <is>
          <t xml:space="preserve">Greedy</t>
        </is>
      </c>
      <c r="H279" s="2" t="inlineStr">
        <is>
          <t xml:space="preserve">Big numbers</t>
        </is>
      </c>
      <c r="I279" s="2" t="inlineStr">
        <is>
          <t xml:space="preserve">Big integers, Arrays, Math</t>
        </is>
      </c>
      <c r="J279" s="2" t="inlineStr">
        <is>
          <t xml:space="preserve">Use distinct parts 2,3,4,... and redistribute the leftover; product needs big numbers</t>
        </is>
      </c>
      <c r="K279" s="2" t="inlineStr">
        <is>
          <t xml:space="preserve">Динамично програмиране (Dynamic programming)</t>
        </is>
      </c>
      <c r="L279" s="9" t="str">
        <f>HYPERLINK("https://arena.olimpiici.com/#/catalog/254/problem/100720","open problem")</f>
        <v>open problem</v>
      </c>
    </row>
    <row r="280">
      <c r="A280" s="2" t="inlineStr">
        <is>
          <t xml:space="preserve">ratsumc</t>
        </is>
      </c>
      <c r="B280" s="2" t="inlineStr">
        <is>
          <t xml:space="preserve">NOI - National round</t>
        </is>
      </c>
      <c r="C280" s="8" t="inlineStr">
        <is>
          <t xml:space="preserve">C</t>
        </is>
      </c>
      <c r="D280" s="8">
        <v>2018</v>
      </c>
      <c r="E280" s="7">
        <v>5</v>
      </c>
      <c r="F280" s="2" t="inlineStr">
        <is>
          <t xml:space="preserve">Very hard</t>
        </is>
      </c>
      <c r="G280" s="2" t="inlineStr">
        <is>
          <t xml:space="preserve">Math / Formula</t>
        </is>
      </c>
      <c r="H280" s="2" t="inlineStr">
        <is>
          <t xml:space="preserve">Big numbers</t>
        </is>
      </c>
      <c r="I280" s="2" t="inlineStr">
        <is>
          <t xml:space="preserve">Big integers, Strings, Math</t>
        </is>
      </c>
      <c r="J280" s="2" t="inlineStr">
        <is>
          <t xml:space="preserve">Convert repeating decimals to fractions, add them, then re-derive the period</t>
        </is>
      </c>
      <c r="K280" s="2" t="inlineStr">
        <is>
          <t xml:space="preserve">Математика / Дроби; Математика / НОД - Алгоритъм на Евклид; Математика</t>
        </is>
      </c>
      <c r="L280" s="9" t="str">
        <f>HYPERLINK("https://arena.olimpiici.com/#/catalog/254/problem/100721","open problem")</f>
        <v>open problem</v>
      </c>
    </row>
    <row r="281">
      <c r="A281" s="2" t="inlineStr">
        <is>
          <t xml:space="preserve">kpal</t>
        </is>
      </c>
      <c r="B281" s="2" t="inlineStr">
        <is>
          <t xml:space="preserve">NOI - National round</t>
        </is>
      </c>
      <c r="C281" s="8" t="inlineStr">
        <is>
          <t xml:space="preserve">C</t>
        </is>
      </c>
      <c r="D281" s="8">
        <v>2018</v>
      </c>
      <c r="E281" s="5">
        <v>3</v>
      </c>
      <c r="F281" s="2" t="inlineStr">
        <is>
          <t xml:space="preserve">Medium</t>
        </is>
      </c>
      <c r="G281" s="2" t="inlineStr">
        <is>
          <t xml:space="preserve">Dynamic programming</t>
        </is>
      </c>
      <c r="H281" s="2" t="inlineStr">
        <is>
          <t xml:space="preserve">String processing</t>
        </is>
      </c>
      <c r="I281" s="2" t="inlineStr">
        <is>
          <t xml:space="preserve">2D arrays, Strings, Arrays</t>
        </is>
      </c>
      <c r="J281" s="2" t="inlineStr">
        <is>
          <t xml:space="preserve">Length minus the longest palindromic subsequence must not exceed k</t>
        </is>
      </c>
      <c r="K281" s="2" t="inlineStr">
        <is>
          <t xml:space="preserve">Динамично програмиране (Dynamic programming)</t>
        </is>
      </c>
      <c r="L281" s="9" t="str">
        <f>HYPERLINK("https://arena.olimpiici.com/#/catalog/254/problem/100722","open problem")</f>
        <v>open problem</v>
      </c>
    </row>
    <row r="282">
      <c r="A282" s="2" t="inlineStr">
        <is>
          <t xml:space="preserve">maxP</t>
        </is>
      </c>
      <c r="B282" s="2" t="inlineStr">
        <is>
          <t xml:space="preserve">NOI - National round</t>
        </is>
      </c>
      <c r="C282" s="8" t="inlineStr">
        <is>
          <t xml:space="preserve">C</t>
        </is>
      </c>
      <c r="D282" s="8">
        <v>2018</v>
      </c>
      <c r="E282" s="6">
        <v>4</v>
      </c>
      <c r="F282" s="2" t="inlineStr">
        <is>
          <t xml:space="preserve">Hard</t>
        </is>
      </c>
      <c r="G282" s="2" t="inlineStr">
        <is>
          <t xml:space="preserve">Data structures</t>
        </is>
      </c>
      <c r="H282" s="2" t="inlineStr">
        <is>
          <t xml:space="preserve">Prefix sums</t>
        </is>
      </c>
      <c r="I282" s="2" t="inlineStr">
        <is>
          <t xml:space="preserve">Stacks, Prefix sums, Long long</t>
        </is>
      </c>
      <c r="J282" s="2" t="inlineStr">
        <is>
          <t xml:space="preserve">For every element as the minimum, extend it with a monotonic stack and use prefix sums</t>
        </is>
      </c>
      <c r="K282" s="2" t="inlineStr">
        <is>
          <t xml:space="preserve">STL / Стек (stack)</t>
        </is>
      </c>
      <c r="L282" s="9" t="str">
        <f>HYPERLINK("https://arena.olimpiici.com/#/catalog/254/problem/100723","open problem")</f>
        <v>open problem</v>
      </c>
    </row>
    <row r="283">
      <c r="A283" s="2" t="inlineStr">
        <is>
          <t xml:space="preserve">magbox</t>
        </is>
      </c>
      <c r="B283" s="2" t="inlineStr">
        <is>
          <t xml:space="preserve">NOI - National round</t>
        </is>
      </c>
      <c r="C283" s="8" t="inlineStr">
        <is>
          <t xml:space="preserve">C</t>
        </is>
      </c>
      <c r="D283" s="8">
        <v>2018</v>
      </c>
      <c r="E283" s="7">
        <v>5</v>
      </c>
      <c r="F283" s="2" t="inlineStr">
        <is>
          <t xml:space="preserve">Very hard</t>
        </is>
      </c>
      <c r="G283" s="2" t="inlineStr">
        <is>
          <t xml:space="preserve">Constructive</t>
        </is>
      </c>
      <c r="H283" s="2" t="inlineStr">
        <is>
          <t xml:space="preserve">Implementation / Simulation</t>
        </is>
      </c>
      <c r="I283" s="2" t="inlineStr">
        <is>
          <t xml:space="preserve">2D arrays, Grid/Matrix, Arrays</t>
        </is>
      </c>
      <c r="J283" s="2" t="inlineStr">
        <is>
          <t xml:space="preserve">Deduce the mirror layout cell by cell by tracing rays through the box</t>
        </is>
      </c>
      <c r="K283" s="2" t="inlineStr">
        <is>
          <t xml:space="preserve">Greedy</t>
        </is>
      </c>
      <c r="L283" s="9" t="str">
        <f>HYPERLINK("https://arena.olimpiici.com/#/catalog/254/problem/100724","open problem")</f>
        <v>open problem</v>
      </c>
    </row>
    <row r="284">
      <c r="A284" s="2" t="inlineStr">
        <is>
          <t xml:space="preserve">change</t>
        </is>
      </c>
      <c r="B284" s="2" t="inlineStr">
        <is>
          <t xml:space="preserve">NOI - National round</t>
        </is>
      </c>
      <c r="C284" s="8" t="inlineStr">
        <is>
          <t xml:space="preserve">C</t>
        </is>
      </c>
      <c r="D284" s="8">
        <v>2019</v>
      </c>
      <c r="E284" s="6">
        <v>4</v>
      </c>
      <c r="F284" s="2" t="inlineStr">
        <is>
          <t xml:space="preserve">Hard</t>
        </is>
      </c>
      <c r="G284" s="2" t="inlineStr">
        <is>
          <t xml:space="preserve">Dynamic programming</t>
        </is>
      </c>
      <c r="H284" s="2" t="inlineStr">
        <is>
          <t xml:space="preserve">Greedy</t>
        </is>
      </c>
      <c r="I284" s="2" t="inlineStr">
        <is>
          <t xml:space="preserve">Arrays, Loops, Long long</t>
        </is>
      </c>
      <c r="J284" s="2" t="inlineStr">
        <is>
          <t xml:space="preserve">Coin-change DP in both directions: payment minus change must equal s</t>
        </is>
      </c>
      <c r="K284" s="2" t="inlineStr">
        <is>
          <t xml:space="preserve">Динамично програмиране (Dynamic programming)</t>
        </is>
      </c>
      <c r="L284" s="9" t="str">
        <f>HYPERLINK("https://arena.olimpiici.com/#/catalog/406/problem/101127","open problem")</f>
        <v>open problem</v>
      </c>
    </row>
    <row r="285">
      <c r="A285" s="2" t="inlineStr">
        <is>
          <t xml:space="preserve">miner</t>
        </is>
      </c>
      <c r="B285" s="2" t="inlineStr">
        <is>
          <t xml:space="preserve">NOI - National round</t>
        </is>
      </c>
      <c r="C285" s="8" t="inlineStr">
        <is>
          <t xml:space="preserve">C</t>
        </is>
      </c>
      <c r="D285" s="8">
        <v>2019</v>
      </c>
      <c r="E285" s="5">
        <v>3</v>
      </c>
      <c r="F285" s="2" t="inlineStr">
        <is>
          <t xml:space="preserve">Medium</t>
        </is>
      </c>
      <c r="G285" s="2" t="inlineStr">
        <is>
          <t xml:space="preserve">Flood fill</t>
        </is>
      </c>
      <c r="H285" s="2" t="inlineStr">
        <is>
          <t xml:space="preserve">Grid/Matrix</t>
        </is>
      </c>
      <c r="I285" s="2" t="inlineStr">
        <is>
          <t xml:space="preserve">2D arrays, Queues, Grid/Matrix</t>
        </is>
      </c>
      <c r="J285" s="2" t="inlineStr">
        <is>
          <t xml:space="preserve">One click per zero-region plus one for each remaining numbered free cell</t>
        </is>
      </c>
      <c r="K285" s="2" t="inlineStr">
        <is>
          <t xml:space="preserve">Графи; Графи / Търсене в ширина (BFS); Графи / Търсене в дълбочина (DFS)</t>
        </is>
      </c>
      <c r="L285" s="9" t="str">
        <f>HYPERLINK("https://arena.olimpiici.com/#/catalog/406/problem/101128","open problem")</f>
        <v>open problem</v>
      </c>
    </row>
    <row r="286">
      <c r="A286" s="2" t="inlineStr">
        <is>
          <t xml:space="preserve">maps</t>
        </is>
      </c>
      <c r="B286" s="2" t="inlineStr">
        <is>
          <t xml:space="preserve">NOI - National round</t>
        </is>
      </c>
      <c r="C286" s="8" t="inlineStr">
        <is>
          <t xml:space="preserve">C</t>
        </is>
      </c>
      <c r="D286" s="8">
        <v>2019</v>
      </c>
      <c r="E286" s="7">
        <v>5</v>
      </c>
      <c r="F286" s="2" t="inlineStr">
        <is>
          <t xml:space="preserve">Very hard</t>
        </is>
      </c>
      <c r="G286" s="2" t="inlineStr">
        <is>
          <t xml:space="preserve">Dynamic programming</t>
        </is>
      </c>
      <c r="H286" s="2" t="inlineStr">
        <is>
          <t xml:space="preserve">Sorting</t>
        </is>
      </c>
      <c r="I286" s="2" t="inlineStr">
        <is>
          <t xml:space="preserve">Sorting, 2D arrays, Modular arithmetic</t>
        </is>
      </c>
      <c r="J286" s="2" t="inlineStr">
        <is>
          <t xml:space="preserve">Process huts by increasing altitude, propagating how many groups reach each cell</t>
        </is>
      </c>
      <c r="K286" s="2" t="inlineStr">
        <is>
          <t xml:space="preserve">Динамично програмиране (Dynamic programming); Сортиране с броене (counting sort)</t>
        </is>
      </c>
      <c r="L286" s="9" t="str">
        <f>HYPERLINK("https://arena.olimpiici.com/#/catalog/406/problem/101129","open problem")</f>
        <v>open problem</v>
      </c>
    </row>
    <row r="287">
      <c r="A287" s="2" t="inlineStr">
        <is>
          <t xml:space="preserve">missing</t>
        </is>
      </c>
      <c r="B287" s="2" t="inlineStr">
        <is>
          <t xml:space="preserve">NOI - National round</t>
        </is>
      </c>
      <c r="C287" s="8" t="inlineStr">
        <is>
          <t xml:space="preserve">C</t>
        </is>
      </c>
      <c r="D287" s="8">
        <v>2019</v>
      </c>
      <c r="E287" s="5">
        <v>3</v>
      </c>
      <c r="F287" s="2" t="inlineStr">
        <is>
          <t xml:space="preserve">Medium</t>
        </is>
      </c>
      <c r="G287" s="2" t="inlineStr">
        <is>
          <t xml:space="preserve">Math / Formula</t>
        </is>
      </c>
      <c r="H287" s="2" t="inlineStr">
        <is>
          <t xml:space="preserve">Bit manipulation</t>
        </is>
      </c>
      <c r="I287" s="2" t="inlineStr">
        <is>
          <t xml:space="preserve">Long long, Bitmask, Memory optimization</t>
        </is>
      </c>
      <c r="J287" s="2" t="inlineStr">
        <is>
          <t xml:space="preserve">Sum and sum-of-squares differences pin A and B within a 2 MB limit</t>
        </is>
      </c>
      <c r="K287" s="2" t="inlineStr">
        <is>
          <t xml:space="preserve">STL / bitset; Броене с масив (counting); Ограничена памет / Limited memory</t>
        </is>
      </c>
      <c r="L287" s="9" t="str">
        <f>HYPERLINK("https://arena.olimpiici.com/#/catalog/406/problem/101130","open problem")</f>
        <v>open problem</v>
      </c>
    </row>
    <row r="288">
      <c r="A288" s="2" t="inlineStr">
        <is>
          <t xml:space="preserve">rmnexpr</t>
        </is>
      </c>
      <c r="B288" s="2" t="inlineStr">
        <is>
          <t xml:space="preserve">NOI - National round</t>
        </is>
      </c>
      <c r="C288" s="8" t="inlineStr">
        <is>
          <t xml:space="preserve">C</t>
        </is>
      </c>
      <c r="D288" s="8">
        <v>2019</v>
      </c>
      <c r="E288" s="6">
        <v>4</v>
      </c>
      <c r="F288" s="2" t="inlineStr">
        <is>
          <t xml:space="preserve">Hard</t>
        </is>
      </c>
      <c r="G288" s="2" t="inlineStr">
        <is>
          <t xml:space="preserve">String processing</t>
        </is>
      </c>
      <c r="H288" s="2" t="inlineStr">
        <is>
          <t xml:space="preserve">Recursion / Backtracking</t>
        </is>
      </c>
      <c r="I288" s="2" t="inlineStr">
        <is>
          <t xml:space="preserve">Strings, Recursion, I/O parsing</t>
        </is>
      </c>
      <c r="J288" s="2" t="inlineStr">
        <is>
          <t xml:space="preserve">Parse Roman numerals, then evaluate the expression with precedence and brackets</t>
        </is>
      </c>
      <c r="K288" s="2" t="inlineStr">
        <is>
          <t xml:space="preserve">Аритметични изрази; Обратен полски запис</t>
        </is>
      </c>
      <c r="L288" s="9" t="str">
        <f>HYPERLINK("https://arena.olimpiici.com/#/catalog/406/problem/101131","open problem")</f>
        <v>open problem</v>
      </c>
    </row>
    <row r="289">
      <c r="A289" s="2" t="inlineStr">
        <is>
          <t xml:space="preserve">courier</t>
        </is>
      </c>
      <c r="B289" s="2" t="inlineStr">
        <is>
          <t xml:space="preserve">NOI - National round</t>
        </is>
      </c>
      <c r="C289" s="8" t="inlineStr">
        <is>
          <t xml:space="preserve">C</t>
        </is>
      </c>
      <c r="D289" s="8">
        <v>2019</v>
      </c>
      <c r="E289" s="5">
        <v>3</v>
      </c>
      <c r="F289" s="2" t="inlineStr">
        <is>
          <t xml:space="preserve">Medium</t>
        </is>
      </c>
      <c r="G289" s="2" t="inlineStr">
        <is>
          <t xml:space="preserve">Shortest path</t>
        </is>
      </c>
      <c r="H289" s="2" t="inlineStr">
        <is>
          <t xml:space="preserve">Graph traversal (BFS/DFS)</t>
        </is>
      </c>
      <c r="I289" s="2" t="inlineStr">
        <is>
          <t xml:space="preserve">Priority queue, Vectors, Structs</t>
        </is>
      </c>
      <c r="J289" s="2" t="inlineStr">
        <is>
          <t xml:space="preserve">Dijkstra where each edge costs length divided by the current speed limit</t>
        </is>
      </c>
      <c r="K289" s="2" t="inlineStr">
        <is>
          <t xml:space="preserve">Графи / Дейкстра (Dijkstra); Графи</t>
        </is>
      </c>
      <c r="L289" s="9" t="str">
        <f>HYPERLINK("https://arena.olimpiici.com/#/catalog/406/problem/101132","open problem")</f>
        <v>open problem</v>
      </c>
    </row>
    <row r="290">
      <c r="A290" s="2" t="inlineStr">
        <is>
          <t xml:space="preserve">segments</t>
        </is>
      </c>
      <c r="B290" s="2" t="inlineStr">
        <is>
          <t xml:space="preserve">NOI - National round</t>
        </is>
      </c>
      <c r="C290" s="8" t="inlineStr">
        <is>
          <t xml:space="preserve">C</t>
        </is>
      </c>
      <c r="D290" s="8">
        <v>2020</v>
      </c>
      <c r="E290" s="7">
        <v>5</v>
      </c>
      <c r="F290" s="2" t="inlineStr">
        <is>
          <t xml:space="preserve">Very hard</t>
        </is>
      </c>
      <c r="G290" s="2" t="inlineStr">
        <is>
          <t xml:space="preserve">Recursion / Backtracking</t>
        </is>
      </c>
      <c r="H290" s="2" t="inlineStr">
        <is>
          <t xml:space="preserve">Geometry</t>
        </is>
      </c>
      <c r="I290" s="2" t="inlineStr">
        <is>
          <t xml:space="preserve">Recursion, Vectors, Math</t>
        </is>
      </c>
      <c r="J290" s="2" t="inlineStr">
        <is>
          <t xml:space="preserve">Build a graph of segments sharing a lattice point, then search the longest simple path</t>
        </is>
      </c>
      <c r="K290" s="2" t="inlineStr">
        <is>
          <t xml:space="preserve">Bruteforce; Геометрия / Пресичане на прави; Графи; Графи / Търсене в дълбочина (DFS)</t>
        </is>
      </c>
      <c r="L290" s="9" t="str">
        <f>HYPERLINK("https://arena.olimpiici.com/#/catalog/485/problem/101308","open problem")</f>
        <v>open problem</v>
      </c>
    </row>
    <row r="291">
      <c r="A291" s="2" t="inlineStr">
        <is>
          <t xml:space="preserve">perm11</t>
        </is>
      </c>
      <c r="B291" s="2" t="inlineStr">
        <is>
          <t xml:space="preserve">NOI - National round</t>
        </is>
      </c>
      <c r="C291" s="8" t="inlineStr">
        <is>
          <t xml:space="preserve">C</t>
        </is>
      </c>
      <c r="D291" s="8">
        <v>2020</v>
      </c>
      <c r="E291" s="7">
        <v>5</v>
      </c>
      <c r="F291" s="2" t="inlineStr">
        <is>
          <t xml:space="preserve">Very hard</t>
        </is>
      </c>
      <c r="G291" s="2" t="inlineStr">
        <is>
          <t xml:space="preserve">Dynamic programming</t>
        </is>
      </c>
      <c r="H291" s="2" t="inlineStr">
        <is>
          <t xml:space="preserve">Number theory</t>
        </is>
      </c>
      <c r="I291" s="2" t="inlineStr">
        <is>
          <t xml:space="preserve">2D arrays, Modular arithmetic, Long long</t>
        </is>
      </c>
      <c r="J291" s="2" t="inlineStr">
        <is>
          <t xml:space="preserve">DP over used numbers and alternating digit-sum remainder modulo 11</t>
        </is>
      </c>
      <c r="K291" s="2" t="inlineStr">
        <is>
          <t xml:space="preserve">Динамично програмиране (Dynamic programming); Математика / Делимост</t>
        </is>
      </c>
      <c r="L291" s="9" t="str">
        <f>HYPERLINK("https://arena.olimpiici.com/#/catalog/485/problem/101310","open problem")</f>
        <v>open problem</v>
      </c>
    </row>
    <row r="292">
      <c r="A292" s="2" t="inlineStr">
        <is>
          <t xml:space="preserve">functions</t>
        </is>
      </c>
      <c r="B292" s="2" t="inlineStr">
        <is>
          <t xml:space="preserve">NOI - National round</t>
        </is>
      </c>
      <c r="C292" s="8" t="inlineStr">
        <is>
          <t xml:space="preserve">C</t>
        </is>
      </c>
      <c r="D292" s="8">
        <v>2020</v>
      </c>
      <c r="E292" s="5">
        <v>3</v>
      </c>
      <c r="F292" s="2" t="inlineStr">
        <is>
          <t xml:space="preserve">Medium</t>
        </is>
      </c>
      <c r="G292" s="2" t="inlineStr">
        <is>
          <t xml:space="preserve">Dynamic programming</t>
        </is>
      </c>
      <c r="H292" s="2" t="inlineStr">
        <is>
          <t xml:space="preserve">Graph traversal (BFS/DFS)</t>
        </is>
      </c>
      <c r="I292" s="2" t="inlineStr">
        <is>
          <t xml:space="preserve">Arrays, Queues, Loops</t>
        </is>
      </c>
      <c r="J292" s="2" t="inlineStr">
        <is>
          <t xml:space="preserve">Unbounded coin change: precompute minimum steps to every N, answer queries in O(1)</t>
        </is>
      </c>
      <c r="K292" s="2" t="inlineStr">
        <is>
          <t xml:space="preserve">Динамично програмиране (Dynamic programming)</t>
        </is>
      </c>
      <c r="L292" s="9" t="str">
        <f>HYPERLINK("https://arena.olimpiici.com/#/catalog/485/problem/101311","open problem")</f>
        <v>open problem</v>
      </c>
    </row>
    <row r="293">
      <c r="A293" s="2" t="inlineStr">
        <is>
          <t xml:space="preserve">plan</t>
        </is>
      </c>
      <c r="B293" s="2" t="inlineStr">
        <is>
          <t xml:space="preserve">NOI - National round</t>
        </is>
      </c>
      <c r="C293" s="8" t="inlineStr">
        <is>
          <t xml:space="preserve">C</t>
        </is>
      </c>
      <c r="D293" s="8">
        <v>2021</v>
      </c>
      <c r="E293" s="7">
        <v>5</v>
      </c>
      <c r="F293" s="2" t="inlineStr">
        <is>
          <t xml:space="preserve">Very hard</t>
        </is>
      </c>
      <c r="G293" s="2" t="inlineStr">
        <is>
          <t xml:space="preserve">Graph traversal (BFS/DFS)</t>
        </is>
      </c>
      <c r="H293" s="2" t="inlineStr">
        <is>
          <t xml:space="preserve">Shortest path</t>
        </is>
      </c>
      <c r="I293" s="2" t="inlineStr">
        <is>
          <t xml:space="preserve">Vectors, Queues, Arrays</t>
        </is>
      </c>
      <c r="J293" s="2" t="inlineStr">
        <is>
          <t xml:space="preserve">BFS by hop count with time tie-break builds a tree; queries become ancestor tests</t>
        </is>
      </c>
      <c r="K293" s="2" t="inlineStr">
        <is>
          <t xml:space="preserve">Графи; Графи / Търсене в ширина (BFS); Графи / Покриващо дърво (Spanning tree); Графи / Дървета</t>
        </is>
      </c>
      <c r="L293" s="9" t="str">
        <f>HYPERLINK("https://arena.olimpiici.com/#/catalog/569/problem/101403","open problem")</f>
        <v>open problem</v>
      </c>
    </row>
    <row r="294">
      <c r="A294" s="2" t="inlineStr">
        <is>
          <t xml:space="preserve">cosums</t>
        </is>
      </c>
      <c r="B294" s="2" t="inlineStr">
        <is>
          <t xml:space="preserve">NOI - National round</t>
        </is>
      </c>
      <c r="C294" s="8" t="inlineStr">
        <is>
          <t xml:space="preserve">C</t>
        </is>
      </c>
      <c r="D294" s="8">
        <v>2021</v>
      </c>
      <c r="E294" s="6">
        <v>4</v>
      </c>
      <c r="F294" s="2" t="inlineStr">
        <is>
          <t xml:space="preserve">Hard</t>
        </is>
      </c>
      <c r="G294" s="2" t="inlineStr">
        <is>
          <t xml:space="preserve">Number theory</t>
        </is>
      </c>
      <c r="H294" s="2" t="inlineStr">
        <is>
          <t xml:space="preserve">Math / Formula</t>
        </is>
      </c>
      <c r="I294" s="2" t="inlineStr">
        <is>
          <t xml:space="preserve">Math, Long long, Loops</t>
        </is>
      </c>
      <c r="J294" s="2" t="inlineStr">
        <is>
          <t xml:space="preserve">The equality reduces to a divisor condition on b; enumerate its divisors</t>
        </is>
      </c>
      <c r="K294" s="2" t="inlineStr">
        <is>
          <t xml:space="preserve">Математика; Математика / Делимост</t>
        </is>
      </c>
      <c r="L294" s="9" t="str">
        <f>HYPERLINK("https://arena.olimpiici.com/#/catalog/569/problem/101404","open problem")</f>
        <v>open problem</v>
      </c>
    </row>
    <row r="295">
      <c r="A295" s="2" t="inlineStr">
        <is>
          <t xml:space="preserve">builders</t>
        </is>
      </c>
      <c r="B295" s="2" t="inlineStr">
        <is>
          <t xml:space="preserve">NOI - National round</t>
        </is>
      </c>
      <c r="C295" s="8" t="inlineStr">
        <is>
          <t xml:space="preserve">C</t>
        </is>
      </c>
      <c r="D295" s="8">
        <v>2021</v>
      </c>
      <c r="E295" s="6">
        <v>4</v>
      </c>
      <c r="F295" s="2" t="inlineStr">
        <is>
          <t xml:space="preserve">Hard</t>
        </is>
      </c>
      <c r="G295" s="2" t="inlineStr">
        <is>
          <t xml:space="preserve">Dynamic programming</t>
        </is>
      </c>
      <c r="H295" s="2" t="inlineStr">
        <is>
          <t xml:space="preserve">Bit manipulation</t>
        </is>
      </c>
      <c r="I295" s="2" t="inlineStr">
        <is>
          <t xml:space="preserve">Bitmask, 2D arrays, Math</t>
        </is>
      </c>
      <c r="J295" s="2" t="inlineStr">
        <is>
          <t xml:space="preserve">Assignment problem for N&lt;=20 by bitmask DP maximising the product of probabilities</t>
        </is>
      </c>
      <c r="K295" s="2" t="inlineStr">
        <is>
          <t xml:space="preserve">Динамично програмиране (Dynamic programming); Побитова маска</t>
        </is>
      </c>
      <c r="L295" s="9" t="str">
        <f>HYPERLINK("https://arena.olimpiici.com/#/catalog/569/problem/101405","open problem")</f>
        <v>open problem</v>
      </c>
    </row>
    <row r="296">
      <c r="A296" s="2" t="inlineStr">
        <is>
          <t xml:space="preserve">perm</t>
        </is>
      </c>
      <c r="B296" s="2" t="inlineStr">
        <is>
          <t xml:space="preserve">NOI - National round</t>
        </is>
      </c>
      <c r="C296" s="8" t="inlineStr">
        <is>
          <t xml:space="preserve">C</t>
        </is>
      </c>
      <c r="D296" s="8">
        <v>2021</v>
      </c>
      <c r="E296" s="6">
        <v>4</v>
      </c>
      <c r="F296" s="2" t="inlineStr">
        <is>
          <t xml:space="preserve">Hard</t>
        </is>
      </c>
      <c r="G296" s="2" t="inlineStr">
        <is>
          <t xml:space="preserve">Dynamic programming</t>
        </is>
      </c>
      <c r="H296" s="2" t="inlineStr">
        <is>
          <t xml:space="preserve">Greedy</t>
        </is>
      </c>
      <c r="I296" s="2" t="inlineStr">
        <is>
          <t xml:space="preserve">Strings, Arrays, Loops</t>
        </is>
      </c>
      <c r="J296" s="2" t="inlineStr">
        <is>
          <t xml:space="preserve">Rearrange to leave exactly one '00'; count the cheapest swaps to reach that shape</t>
        </is>
      </c>
      <c r="K296" s="2" t="inlineStr">
        <is>
          <t xml:space="preserve">Динамично програмиране (Dynamic programming)</t>
        </is>
      </c>
      <c r="L296" s="9" t="str">
        <f>HYPERLINK("https://arena.olimpiici.com/#/catalog/569/problem/101406","open problem")</f>
        <v>open problem</v>
      </c>
    </row>
    <row r="297">
      <c r="A297" s="2" t="inlineStr">
        <is>
          <t xml:space="preserve">gnom</t>
        </is>
      </c>
      <c r="B297" s="2" t="inlineStr">
        <is>
          <t xml:space="preserve">NOI - National round</t>
        </is>
      </c>
      <c r="C297" s="8" t="inlineStr">
        <is>
          <t xml:space="preserve">C</t>
        </is>
      </c>
      <c r="D297" s="8">
        <v>2021</v>
      </c>
      <c r="E297" s="7">
        <v>5</v>
      </c>
      <c r="F297" s="2" t="inlineStr">
        <is>
          <t xml:space="preserve">Very hard</t>
        </is>
      </c>
      <c r="G297" s="2" t="inlineStr">
        <is>
          <t xml:space="preserve">Shortest path</t>
        </is>
      </c>
      <c r="H297" s="2" t="inlineStr">
        <is>
          <t xml:space="preserve">Greedy</t>
        </is>
      </c>
      <c r="I297" s="2" t="inlineStr">
        <is>
          <t xml:space="preserve">Priority queue, Vectors, Long long</t>
        </is>
      </c>
      <c r="J297" s="2" t="inlineStr">
        <is>
          <t xml:space="preserve">Dijkstra on a hypergraph where an item unlocks once both of its two inputs are settled</t>
        </is>
      </c>
      <c r="K297" s="2" t="inlineStr">
        <is>
          <t xml:space="preserve">Графи; Графи / Дейкстра (Dijkstra); Greedy</t>
        </is>
      </c>
      <c r="L297" s="9" t="str">
        <f>HYPERLINK("https://arena.olimpiici.com/#/catalog/569/problem/101407","open problem")</f>
        <v>open problem</v>
      </c>
    </row>
    <row r="298">
      <c r="A298" s="2" t="inlineStr">
        <is>
          <t xml:space="preserve">mono</t>
        </is>
      </c>
      <c r="B298" s="2" t="inlineStr">
        <is>
          <t xml:space="preserve">NOI - National round</t>
        </is>
      </c>
      <c r="C298" s="8" t="inlineStr">
        <is>
          <t xml:space="preserve">C</t>
        </is>
      </c>
      <c r="D298" s="8">
        <v>2021</v>
      </c>
      <c r="E298" s="6">
        <v>4</v>
      </c>
      <c r="F298" s="2" t="inlineStr">
        <is>
          <t xml:space="preserve">Hard</t>
        </is>
      </c>
      <c r="G298" s="2" t="inlineStr">
        <is>
          <t xml:space="preserve">Constructive</t>
        </is>
      </c>
      <c r="H298" s="2" t="inlineStr">
        <is>
          <t xml:space="preserve">Implementation / Simulation</t>
        </is>
      </c>
      <c r="I298" s="2" t="inlineStr">
        <is>
          <t xml:space="preserve">Math, Loops, File I/O</t>
        </is>
      </c>
      <c r="J298" s="2" t="inlineStr">
        <is>
          <t xml:space="preserve">Output-only: write a straight-line program in the toy 'mono' language</t>
        </is>
      </c>
      <c r="K298" s="2" t="inlineStr">
        <is>
          <t xml:space="preserve">Output Only; Математика</t>
        </is>
      </c>
      <c r="L298" s="9" t="str">
        <f>HYPERLINK("https://arena.olimpiici.com/#/catalog/569/problem/101408","open problem")</f>
        <v>open problem</v>
      </c>
    </row>
    <row r="299">
      <c r="A299" s="2" t="inlineStr">
        <is>
          <t xml:space="preserve">coin</t>
        </is>
      </c>
      <c r="B299" s="2" t="inlineStr">
        <is>
          <t xml:space="preserve">NOI - National round</t>
        </is>
      </c>
      <c r="C299" s="8" t="inlineStr">
        <is>
          <t xml:space="preserve">C</t>
        </is>
      </c>
      <c r="D299" s="8">
        <v>2022</v>
      </c>
      <c r="E299" s="7">
        <v>5</v>
      </c>
      <c r="F299" s="2" t="inlineStr">
        <is>
          <t xml:space="preserve">Very hard</t>
        </is>
      </c>
      <c r="G299" s="2" t="inlineStr">
        <is>
          <t xml:space="preserve">Dynamic programming</t>
        </is>
      </c>
      <c r="H299" s="2" t="inlineStr">
        <is>
          <t xml:space="preserve">Greedy</t>
        </is>
      </c>
      <c r="I299" s="2" t="inlineStr">
        <is>
          <t xml:space="preserve">Sorting, Counting array, Long long</t>
        </is>
      </c>
      <c r="J299" s="2" t="inlineStr">
        <is>
          <t xml:space="preserve">Keep one coin of each value, then knapsack the duplicates to reach the sum P</t>
        </is>
      </c>
      <c r="K299" s="2" t="inlineStr">
        <is>
          <t xml:space="preserve">Динамично програмиране (Dynamic programming); Greedy</t>
        </is>
      </c>
      <c r="L299" s="9" t="str">
        <f>HYPERLINK("https://arena.olimpiici.com/#/catalog/673/problem/101701","open problem")</f>
        <v>open problem</v>
      </c>
    </row>
    <row r="300">
      <c r="A300" s="2" t="inlineStr">
        <is>
          <t xml:space="preserve">cornfield</t>
        </is>
      </c>
      <c r="B300" s="2" t="inlineStr">
        <is>
          <t xml:space="preserve">NOI - National round</t>
        </is>
      </c>
      <c r="C300" s="8" t="inlineStr">
        <is>
          <t xml:space="preserve">C</t>
        </is>
      </c>
      <c r="D300" s="8">
        <v>2022</v>
      </c>
      <c r="E300" s="7">
        <v>5</v>
      </c>
      <c r="F300" s="2" t="inlineStr">
        <is>
          <t xml:space="preserve">Very hard</t>
        </is>
      </c>
      <c r="G300" s="2" t="inlineStr">
        <is>
          <t xml:space="preserve">Data structures</t>
        </is>
      </c>
      <c r="H300" s="2" t="inlineStr">
        <is>
          <t xml:space="preserve">Sorting</t>
        </is>
      </c>
      <c r="I300" s="2" t="inlineStr">
        <is>
          <t xml:space="preserve">Sorting, 2D arrays, Grid/Matrix</t>
        </is>
      </c>
      <c r="J300" s="2" t="inlineStr">
        <is>
          <t xml:space="preserve">Add cells in increasing density with union-find, tracking when each person escapes</t>
        </is>
      </c>
      <c r="K300" s="2" t="inlineStr">
        <is>
          <t xml:space="preserve">Двоично търсене по отговора (binary search); Графи / Търсене в дълбочина (DFS); Сортиране (sorting)</t>
        </is>
      </c>
      <c r="L300" s="9" t="str">
        <f>HYPERLINK("https://arena.olimpiici.com/#/catalog/673/problem/101702","open problem")</f>
        <v>open problem</v>
      </c>
    </row>
    <row r="301">
      <c r="A301" s="2" t="inlineStr">
        <is>
          <t xml:space="preserve">descent</t>
        </is>
      </c>
      <c r="B301" s="2" t="inlineStr">
        <is>
          <t xml:space="preserve">NOI - National round</t>
        </is>
      </c>
      <c r="C301" s="8" t="inlineStr">
        <is>
          <t xml:space="preserve">C</t>
        </is>
      </c>
      <c r="D301" s="8">
        <v>2022</v>
      </c>
      <c r="E301" s="6">
        <v>4</v>
      </c>
      <c r="F301" s="2" t="inlineStr">
        <is>
          <t xml:space="preserve">Hard</t>
        </is>
      </c>
      <c r="G301" s="2" t="inlineStr">
        <is>
          <t xml:space="preserve">Data structures</t>
        </is>
      </c>
      <c r="H301" s="2" t="inlineStr">
        <is>
          <t xml:space="preserve">Greedy</t>
        </is>
      </c>
      <c r="I301" s="2" t="inlineStr">
        <is>
          <t xml:space="preserve">Sets, Arrays, Long long</t>
        </is>
      </c>
      <c r="J301" s="2" t="inlineStr">
        <is>
          <t xml:space="preserve">Fill settlements around a circle, skipping full ones with a next-free pointer/DSU</t>
        </is>
      </c>
      <c r="K301" s="2" t="inlineStr">
        <is>
          <t xml:space="preserve">STL / Set; Advanced / Union Find / Disjoint Set Union</t>
        </is>
      </c>
      <c r="L301" s="9" t="str">
        <f>HYPERLINK("https://arena.olimpiici.com/#/catalog/673/problem/101703","open problem")</f>
        <v>open problem</v>
      </c>
    </row>
    <row r="302">
      <c r="A302" s="2" t="inlineStr">
        <is>
          <t xml:space="preserve">aliens</t>
        </is>
      </c>
      <c r="B302" s="2" t="inlineStr">
        <is>
          <t xml:space="preserve">NOI - National round</t>
        </is>
      </c>
      <c r="C302" s="8" t="inlineStr">
        <is>
          <t xml:space="preserve">C</t>
        </is>
      </c>
      <c r="D302" s="8">
        <v>2022</v>
      </c>
      <c r="E302" s="7">
        <v>5</v>
      </c>
      <c r="F302" s="2" t="inlineStr">
        <is>
          <t xml:space="preserve">Very hard</t>
        </is>
      </c>
      <c r="G302" s="2" t="inlineStr">
        <is>
          <t xml:space="preserve">Dynamic programming</t>
        </is>
      </c>
      <c r="H302" s="2" t="inlineStr">
        <is>
          <t xml:space="preserve">Two pointers / Sliding window</t>
        </is>
      </c>
      <c r="I302" s="2" t="inlineStr">
        <is>
          <t xml:space="preserve">Arrays, Two pointers, Counting array</t>
        </is>
      </c>
      <c r="J302" s="2" t="inlineStr">
        <is>
          <t xml:space="preserve">Greedily cut permutation blocks, then DP the cheapest way to keep K of them</t>
        </is>
      </c>
      <c r="K302" s="2" t="inlineStr">
        <is>
          <t xml:space="preserve">Динамично програмиране (Dynamic programming); Метод на показалките / 2-pointers</t>
        </is>
      </c>
      <c r="L302" s="9" t="str">
        <f>HYPERLINK("https://arena.olimpiici.com/#/catalog/673/problem/101704","open problem")</f>
        <v>open problem</v>
      </c>
    </row>
    <row r="303">
      <c r="A303" s="2" t="inlineStr">
        <is>
          <t xml:space="preserve">mindiff</t>
        </is>
      </c>
      <c r="B303" s="2" t="inlineStr">
        <is>
          <t xml:space="preserve">NOI - National round</t>
        </is>
      </c>
      <c r="C303" s="8" t="inlineStr">
        <is>
          <t xml:space="preserve">C</t>
        </is>
      </c>
      <c r="D303" s="8">
        <v>2022</v>
      </c>
      <c r="E303" s="6">
        <v>4</v>
      </c>
      <c r="F303" s="2" t="inlineStr">
        <is>
          <t xml:space="preserve">Hard</t>
        </is>
      </c>
      <c r="G303" s="2" t="inlineStr">
        <is>
          <t xml:space="preserve">Two pointers / Sliding window</t>
        </is>
      </c>
      <c r="H303" s="2" t="inlineStr">
        <is>
          <t xml:space="preserve">Counting / Frequency arrays</t>
        </is>
      </c>
      <c r="I303" s="2" t="inlineStr">
        <is>
          <t xml:space="preserve">Counting array, Two pointers, Arrays</t>
        </is>
      </c>
      <c r="J303" s="2" t="inlineStr">
        <is>
          <t xml:space="preserve">Generated values are bounded, so bucket them and sweep for nearest neighbours</t>
        </is>
      </c>
      <c r="K303" s="2" t="inlineStr">
        <is>
          <t xml:space="preserve">Метод на показалките / 2-pointers; Сортиране с броене (counting sort)</t>
        </is>
      </c>
      <c r="L303" s="9" t="str">
        <f>HYPERLINK("https://arena.olimpiici.com/#/catalog/673/problem/101705","open problem")</f>
        <v>open problem</v>
      </c>
    </row>
    <row r="304">
      <c r="A304" s="2" t="inlineStr">
        <is>
          <t xml:space="preserve">party</t>
        </is>
      </c>
      <c r="B304" s="2" t="inlineStr">
        <is>
          <t xml:space="preserve">NOI - National round</t>
        </is>
      </c>
      <c r="C304" s="8" t="inlineStr">
        <is>
          <t xml:space="preserve">C</t>
        </is>
      </c>
      <c r="D304" s="8">
        <v>2022</v>
      </c>
      <c r="E304" s="6">
        <v>4</v>
      </c>
      <c r="F304" s="2" t="inlineStr">
        <is>
          <t xml:space="preserve">Hard</t>
        </is>
      </c>
      <c r="G304" s="2" t="inlineStr">
        <is>
          <t xml:space="preserve">Graph traversal (BFS/DFS)</t>
        </is>
      </c>
      <c r="H304" s="2" t="inlineStr">
        <is>
          <t xml:space="preserve">Greedy</t>
        </is>
      </c>
      <c r="I304" s="2" t="inlineStr">
        <is>
          <t xml:space="preserve">Vectors, Queues, Arrays</t>
        </is>
      </c>
      <c r="J304" s="2" t="inlineStr">
        <is>
          <t xml:space="preserve">Repeatedly drop friends with no accepting neighbour, like peeling a k-core</t>
        </is>
      </c>
      <c r="K304" s="2" t="inlineStr">
        <is>
          <t xml:space="preserve">Графи / Търсене в дълбочина (DFS); Графи / Търсене в ширина (BFS)</t>
        </is>
      </c>
      <c r="L304" s="9" t="str">
        <f>HYPERLINK("https://arena.olimpiici.com/#/catalog/673/problem/101706","open problem")</f>
        <v>open problem</v>
      </c>
    </row>
    <row r="305">
      <c r="A305" s="2" t="inlineStr">
        <is>
          <t xml:space="preserve">skobi</t>
        </is>
      </c>
      <c r="B305" s="2" t="inlineStr">
        <is>
          <t xml:space="preserve">NOI - National round</t>
        </is>
      </c>
      <c r="C305" s="8" t="inlineStr">
        <is>
          <t xml:space="preserve">C</t>
        </is>
      </c>
      <c r="D305" s="8">
        <v>2023</v>
      </c>
      <c r="E305" s="5">
        <v>3</v>
      </c>
      <c r="F305" s="2" t="inlineStr">
        <is>
          <t xml:space="preserve">Medium</t>
        </is>
      </c>
      <c r="G305" s="2" t="inlineStr">
        <is>
          <t xml:space="preserve">Data structures</t>
        </is>
      </c>
      <c r="H305" s="2" t="inlineStr">
        <is>
          <t xml:space="preserve">Greedy</t>
        </is>
      </c>
      <c r="I305" s="2" t="inlineStr">
        <is>
          <t xml:space="preserve">Stacks, Strings, Arrays</t>
        </is>
      </c>
      <c r="J305" s="2" t="inlineStr">
        <is>
          <t xml:space="preserve">Stack pass gives the missing brackets; place them for minimum and maximum nesting</t>
        </is>
      </c>
      <c r="K305" s="2" t="inlineStr">
        <is>
          <t xml:space="preserve">STL / Стек (stack)</t>
        </is>
      </c>
      <c r="L305" s="9" t="str">
        <f>HYPERLINK("https://arena.olimpiici.com/#/catalog/750/problem/101934","open problem")</f>
        <v>open problem</v>
      </c>
    </row>
    <row r="306">
      <c r="A306" s="2" t="inlineStr">
        <is>
          <t xml:space="preserve">optimize</t>
        </is>
      </c>
      <c r="B306" s="2" t="inlineStr">
        <is>
          <t xml:space="preserve">NOI - National round</t>
        </is>
      </c>
      <c r="C306" s="8" t="inlineStr">
        <is>
          <t xml:space="preserve">C</t>
        </is>
      </c>
      <c r="D306" s="8">
        <v>2023</v>
      </c>
      <c r="E306" s="7">
        <v>5</v>
      </c>
      <c r="F306" s="2" t="inlineStr">
        <is>
          <t xml:space="preserve">Very hard</t>
        </is>
      </c>
      <c r="G306" s="2" t="inlineStr">
        <is>
          <t xml:space="preserve">Graph traversal (BFS/DFS)</t>
        </is>
      </c>
      <c r="H306" s="2" t="inlineStr">
        <is>
          <t xml:space="preserve">Binary search</t>
        </is>
      </c>
      <c r="I306" s="2" t="inlineStr">
        <is>
          <t xml:space="preserve">Vectors, Maps, Strings</t>
        </is>
      </c>
      <c r="J306" s="2" t="inlineStr">
        <is>
          <t xml:space="preserve">Dependencies between lines form a DAG: topologically order it, binary search the memory</t>
        </is>
      </c>
      <c r="K306" s="2" t="inlineStr">
        <is>
          <t xml:space="preserve">Графи / Топологично сортиране; Двоично търсене по отговора (binary search)</t>
        </is>
      </c>
      <c r="L306" s="9" t="str">
        <f>HYPERLINK("https://arena.olimpiici.com/#/catalog/750/problem/101935","open problem")</f>
        <v>open problem</v>
      </c>
    </row>
    <row r="307">
      <c r="A307" s="2" t="inlineStr">
        <is>
          <t xml:space="preserve">binary</t>
        </is>
      </c>
      <c r="B307" s="2" t="inlineStr">
        <is>
          <t xml:space="preserve">NOI - National round</t>
        </is>
      </c>
      <c r="C307" s="8" t="inlineStr">
        <is>
          <t xml:space="preserve">C</t>
        </is>
      </c>
      <c r="D307" s="8">
        <v>2023</v>
      </c>
      <c r="E307" s="7">
        <v>5</v>
      </c>
      <c r="F307" s="2" t="inlineStr">
        <is>
          <t xml:space="preserve">Very hard</t>
        </is>
      </c>
      <c r="G307" s="2" t="inlineStr">
        <is>
          <t xml:space="preserve">Dynamic programming</t>
        </is>
      </c>
      <c r="H307" s="2" t="inlineStr">
        <is>
          <t xml:space="preserve">Number theory</t>
        </is>
      </c>
      <c r="I307" s="2" t="inlineStr">
        <is>
          <t xml:space="preserve">Long long, Modular arithmetic, Arrays</t>
        </is>
      </c>
      <c r="J307" s="2" t="inlineStr">
        <is>
          <t xml:space="preserve">Representation counts follow Stern's sequence; digit DP sums them over a huge range</t>
        </is>
      </c>
      <c r="K307" s="2" t="inlineStr">
        <is>
          <t xml:space="preserve">Динамично програмиране (Dynamic programming)</t>
        </is>
      </c>
      <c r="L307" s="9" t="str">
        <f>HYPERLINK("https://arena.olimpiici.com/#/catalog/750/problem/101936","open problem")</f>
        <v>open problem</v>
      </c>
    </row>
    <row r="308">
      <c r="A308" s="2" t="inlineStr">
        <is>
          <t xml:space="preserve">strcnt</t>
        </is>
      </c>
      <c r="B308" s="2" t="inlineStr">
        <is>
          <t xml:space="preserve">NOI - National round</t>
        </is>
      </c>
      <c r="C308" s="8" t="inlineStr">
        <is>
          <t xml:space="preserve">C</t>
        </is>
      </c>
      <c r="D308" s="8">
        <v>2023</v>
      </c>
      <c r="E308" s="5">
        <v>3</v>
      </c>
      <c r="F308" s="2" t="inlineStr">
        <is>
          <t xml:space="preserve">Medium</t>
        </is>
      </c>
      <c r="G308" s="2" t="inlineStr">
        <is>
          <t xml:space="preserve">Combinatorics</t>
        </is>
      </c>
      <c r="H308" s="2" t="inlineStr">
        <is>
          <t xml:space="preserve">Big numbers</t>
        </is>
      </c>
      <c r="I308" s="2" t="inlineStr">
        <is>
          <t xml:space="preserve">Big integers, Math, Arrays</t>
        </is>
      </c>
      <c r="J308" s="2" t="inlineStr">
        <is>
          <t xml:space="preserve">Answer is (2n)!/2^n: each letter pair is ordered one way out of two</t>
        </is>
      </c>
      <c r="K308" s="2" t="inlineStr">
        <is>
          <t xml:space="preserve">Комбинаторни конфигурации и преброяване</t>
        </is>
      </c>
      <c r="L308" s="9" t="str">
        <f>HYPERLINK("https://arena.olimpiici.com/#/catalog/750/problem/101937","open problem")</f>
        <v>open problem</v>
      </c>
    </row>
    <row r="309">
      <c r="A309" s="2" t="inlineStr">
        <is>
          <t xml:space="preserve">gateways</t>
        </is>
      </c>
      <c r="B309" s="2" t="inlineStr">
        <is>
          <t xml:space="preserve">NOI - National round</t>
        </is>
      </c>
      <c r="C309" s="8" t="inlineStr">
        <is>
          <t xml:space="preserve">C</t>
        </is>
      </c>
      <c r="D309" s="8">
        <v>2023</v>
      </c>
      <c r="E309" s="7">
        <v>5</v>
      </c>
      <c r="F309" s="2" t="inlineStr">
        <is>
          <t xml:space="preserve">Very hard</t>
        </is>
      </c>
      <c r="G309" s="2" t="inlineStr">
        <is>
          <t xml:space="preserve">Prefix sums</t>
        </is>
      </c>
      <c r="H309" s="2" t="inlineStr">
        <is>
          <t xml:space="preserve">Greedy</t>
        </is>
      </c>
      <c r="I309" s="2" t="inlineStr">
        <is>
          <t xml:space="preserve">Prefix sums, Binary search, Long long</t>
        </is>
      </c>
      <c r="J309" s="2" t="inlineStr">
        <is>
          <t xml:space="preserve">Water overflows forward, so a set of taps works iff every prefix deficit is covered</t>
        </is>
      </c>
      <c r="K309" s="2" t="inlineStr">
        <is>
          <t xml:space="preserve">Префиксни суми (prefix array); Динамично програмиране (Dynamic programming)</t>
        </is>
      </c>
      <c r="L309" s="9" t="str">
        <f>HYPERLINK("https://arena.olimpiici.com/#/catalog/750/problem/101938","open problem")</f>
        <v>open problem</v>
      </c>
    </row>
    <row r="310">
      <c r="A310" s="2" t="inlineStr">
        <is>
          <t xml:space="preserve">travelling</t>
        </is>
      </c>
      <c r="B310" s="2" t="inlineStr">
        <is>
          <t xml:space="preserve">NOI - National round</t>
        </is>
      </c>
      <c r="C310" s="8" t="inlineStr">
        <is>
          <t xml:space="preserve">C</t>
        </is>
      </c>
      <c r="D310" s="8">
        <v>2023</v>
      </c>
      <c r="E310" s="7">
        <v>5</v>
      </c>
      <c r="F310" s="2" t="inlineStr">
        <is>
          <t xml:space="preserve">Very hard</t>
        </is>
      </c>
      <c r="G310" s="2" t="inlineStr">
        <is>
          <t xml:space="preserve">Shortest path</t>
        </is>
      </c>
      <c r="H310" s="2" t="inlineStr">
        <is>
          <t xml:space="preserve">Graph traversal (BFS/DFS)</t>
        </is>
      </c>
      <c r="I310" s="2" t="inlineStr">
        <is>
          <t xml:space="preserve">Priority queue, Vectors, Long long</t>
        </is>
      </c>
      <c r="J310" s="2" t="inlineStr">
        <is>
          <t xml:space="preserve">Dijkstra where a line's ticket is paid on first use: state is (stop, line)</t>
        </is>
      </c>
      <c r="K310" s="2" t="inlineStr">
        <is>
          <t xml:space="preserve">Графи / Дейкстра (Dijkstra)</t>
        </is>
      </c>
      <c r="L310" s="9" t="str">
        <f>HYPERLINK("https://arena.olimpiici.com/#/catalog/750/problem/101939","open problem")</f>
        <v>open problem</v>
      </c>
    </row>
    <row r="311">
      <c r="A311" s="2" t="inlineStr">
        <is>
          <t xml:space="preserve">bouquet</t>
        </is>
      </c>
      <c r="B311" s="2" t="inlineStr">
        <is>
          <t xml:space="preserve">NOI - National round</t>
        </is>
      </c>
      <c r="C311" s="8" t="inlineStr">
        <is>
          <t xml:space="preserve">C</t>
        </is>
      </c>
      <c r="D311" s="8">
        <v>2024</v>
      </c>
      <c r="E311" s="6">
        <v>4</v>
      </c>
      <c r="F311" s="2" t="inlineStr">
        <is>
          <t xml:space="preserve">Hard</t>
        </is>
      </c>
      <c r="G311" s="2" t="inlineStr">
        <is>
          <t xml:space="preserve">Sorting</t>
        </is>
      </c>
      <c r="H311" s="2" t="inlineStr">
        <is>
          <t xml:space="preserve">Binary search</t>
        </is>
      </c>
      <c r="I311" s="2" t="inlineStr">
        <is>
          <t xml:space="preserve">Sorting, Binary search, Long long</t>
        </is>
      </c>
      <c r="J311" s="2" t="inlineStr">
        <is>
          <t xml:space="preserve">Binary search the marginal happiness cut-off, then add the qualifying first flowers</t>
        </is>
      </c>
      <c r="K311" s="2" t="inlineStr">
        <is>
          <t xml:space="preserve">Сортиране (sorting); Двоично търсене (binary search)</t>
        </is>
      </c>
      <c r="L311" s="9" t="str">
        <f>HYPERLINK("https://arena.olimpiici.com/#/catalog/802/problem/102120","open problem")</f>
        <v>open problem</v>
      </c>
    </row>
    <row r="312">
      <c r="A312" s="2" t="inlineStr">
        <is>
          <t xml:space="preserve">multiples</t>
        </is>
      </c>
      <c r="B312" s="2" t="inlineStr">
        <is>
          <t xml:space="preserve">NOI - National round</t>
        </is>
      </c>
      <c r="C312" s="8" t="inlineStr">
        <is>
          <t xml:space="preserve">C</t>
        </is>
      </c>
      <c r="D312" s="8">
        <v>2024</v>
      </c>
      <c r="E312" s="6">
        <v>4</v>
      </c>
      <c r="F312" s="2" t="inlineStr">
        <is>
          <t xml:space="preserve">Hard</t>
        </is>
      </c>
      <c r="G312" s="2" t="inlineStr">
        <is>
          <t xml:space="preserve">Data structures</t>
        </is>
      </c>
      <c r="H312" s="2" t="inlineStr">
        <is>
          <t xml:space="preserve">Number theory</t>
        </is>
      </c>
      <c r="I312" s="2" t="inlineStr">
        <is>
          <t xml:space="preserve">Priority queue, Long long, Memory optimization</t>
        </is>
      </c>
      <c r="J312" s="2" t="inlineStr">
        <is>
          <t xml:space="preserve">Generate smooth numbers in order with a heap/multi-pointer merge in 2 MB</t>
        </is>
      </c>
      <c r="K312" s="2" t="inlineStr">
        <is>
          <t xml:space="preserve">Математика / Прости числа; Математика / Решето на Ератостен</t>
        </is>
      </c>
      <c r="L312" s="9" t="str">
        <f>HYPERLINK("https://arena.olimpiici.com/#/catalog/802/problem/102121","open problem")</f>
        <v>open problem</v>
      </c>
    </row>
    <row r="313">
      <c r="A313" s="2" t="inlineStr">
        <is>
          <t xml:space="preserve">partition</t>
        </is>
      </c>
      <c r="B313" s="2" t="inlineStr">
        <is>
          <t xml:space="preserve">NOI - National round</t>
        </is>
      </c>
      <c r="C313" s="8" t="inlineStr">
        <is>
          <t xml:space="preserve">C</t>
        </is>
      </c>
      <c r="D313" s="8">
        <v>2024</v>
      </c>
      <c r="E313" s="6">
        <v>4</v>
      </c>
      <c r="F313" s="2" t="inlineStr">
        <is>
          <t xml:space="preserve">Hard</t>
        </is>
      </c>
      <c r="G313" s="2" t="inlineStr">
        <is>
          <t xml:space="preserve">Geometry</t>
        </is>
      </c>
      <c r="H313" s="2" t="inlineStr">
        <is>
          <t xml:space="preserve">Math / Formula</t>
        </is>
      </c>
      <c r="I313" s="2" t="inlineStr">
        <is>
          <t xml:space="preserve">Math, Loops</t>
        </is>
      </c>
      <c r="J313" s="2" t="inlineStr">
        <is>
          <t xml:space="preserve">Case analysis on which side the second point lies, solving for equal areas</t>
        </is>
      </c>
      <c r="K313" s="2" t="inlineStr">
        <is>
          <t xml:space="preserve">Геометрия; Двоично търсене (binary search)</t>
        </is>
      </c>
      <c r="L313" s="9" t="str">
        <f>HYPERLINK("https://arena.olimpiici.com/#/catalog/802/problem/102122","open problem")</f>
        <v>open problem</v>
      </c>
    </row>
    <row r="314">
      <c r="A314" s="2" t="inlineStr">
        <is>
          <t xml:space="preserve">escapes</t>
        </is>
      </c>
      <c r="B314" s="2" t="inlineStr">
        <is>
          <t xml:space="preserve">NOI - National round</t>
        </is>
      </c>
      <c r="C314" s="8" t="inlineStr">
        <is>
          <t xml:space="preserve">C</t>
        </is>
      </c>
      <c r="D314" s="8">
        <v>2024</v>
      </c>
      <c r="E314" s="7">
        <v>5</v>
      </c>
      <c r="F314" s="2" t="inlineStr">
        <is>
          <t xml:space="preserve">Very hard</t>
        </is>
      </c>
      <c r="G314" s="2" t="inlineStr">
        <is>
          <t xml:space="preserve">Sorting</t>
        </is>
      </c>
      <c r="H314" s="2" t="inlineStr">
        <is>
          <t xml:space="preserve">Prefix sums</t>
        </is>
      </c>
      <c r="I314" s="2" t="inlineStr">
        <is>
          <t xml:space="preserve">Sorting, Prefix sums, Long long</t>
        </is>
      </c>
      <c r="J314" s="2" t="inlineStr">
        <is>
          <t xml:space="preserve">Sweep the house intervals per side and count cells by how many directions escape</t>
        </is>
      </c>
      <c r="K314" s="2" t="inlineStr">
        <is>
          <t xml:space="preserve">Геометрия / Метяща права (sweep line)</t>
        </is>
      </c>
      <c r="L314" s="9" t="str">
        <f>HYPERLINK("https://arena.olimpiici.com/#/catalog/802/problem/102123","open problem")</f>
        <v>open problem</v>
      </c>
    </row>
    <row r="315">
      <c r="A315" s="2" t="inlineStr">
        <is>
          <t xml:space="preserve">gcd3</t>
        </is>
      </c>
      <c r="B315" s="2" t="inlineStr">
        <is>
          <t xml:space="preserve">NOI - National round</t>
        </is>
      </c>
      <c r="C315" s="8" t="inlineStr">
        <is>
          <t xml:space="preserve">C</t>
        </is>
      </c>
      <c r="D315" s="8">
        <v>2024</v>
      </c>
      <c r="E315" s="6">
        <v>4</v>
      </c>
      <c r="F315" s="2" t="inlineStr">
        <is>
          <t xml:space="preserve">Hard</t>
        </is>
      </c>
      <c r="G315" s="2" t="inlineStr">
        <is>
          <t xml:space="preserve">Data structures</t>
        </is>
      </c>
      <c r="H315" s="2" t="inlineStr">
        <is>
          <t xml:space="preserve">Number theory</t>
        </is>
      </c>
      <c r="I315" s="2" t="inlineStr">
        <is>
          <t xml:space="preserve">Arrays, Counting array, Vectors</t>
        </is>
      </c>
      <c r="J315" s="2" t="inlineStr">
        <is>
          <t xml:space="preserve">Union numbers sharing a prime factor; answer is the number of components (plus 1s)</t>
        </is>
      </c>
      <c r="K315" s="2" t="inlineStr">
        <is>
          <t xml:space="preserve">Графи; Графи / Търсене в ширина (BFS); Advanced / Union Find / Disjoint Set Union; Математика / Решето на Ератостен</t>
        </is>
      </c>
      <c r="L315" s="9" t="str">
        <f>HYPERLINK("https://arena.olimpiici.com/#/catalog/802/problem/102124","open problem")</f>
        <v>open problem</v>
      </c>
    </row>
    <row r="316">
      <c r="A316" s="2" t="inlineStr">
        <is>
          <t xml:space="preserve">maxniva</t>
        </is>
      </c>
      <c r="B316" s="2" t="inlineStr">
        <is>
          <t xml:space="preserve">NOI - National round</t>
        </is>
      </c>
      <c r="C316" s="8" t="inlineStr">
        <is>
          <t xml:space="preserve">C</t>
        </is>
      </c>
      <c r="D316" s="8">
        <v>2024</v>
      </c>
      <c r="E316" s="6">
        <v>4</v>
      </c>
      <c r="F316" s="2" t="inlineStr">
        <is>
          <t xml:space="preserve">Hard</t>
        </is>
      </c>
      <c r="G316" s="2" t="inlineStr">
        <is>
          <t xml:space="preserve">Dynamic programming</t>
        </is>
      </c>
      <c r="H316" s="2" t="inlineStr">
        <is>
          <t xml:space="preserve">Greedy</t>
        </is>
      </c>
      <c r="I316" s="2" t="inlineStr">
        <is>
          <t xml:space="preserve">2D arrays, Strings, Arrays</t>
        </is>
      </c>
      <c r="J316" s="2" t="inlineStr">
        <is>
          <t xml:space="preserve">Interval DP pairing 0s and 1s with non-crossing arcs, maximising nesting depth</t>
        </is>
      </c>
      <c r="K316" s="2" t="inlineStr">
        <is>
          <t xml:space="preserve">Динамично програмиране (Dynamic programming); Greedy</t>
        </is>
      </c>
      <c r="L316" s="9" t="str">
        <f>HYPERLINK("https://arena.olimpiici.com/#/catalog/802/problem/102125","open problem")</f>
        <v>open problem</v>
      </c>
    </row>
    <row r="317">
      <c r="A317" s="2" t="inlineStr">
        <is>
          <t xml:space="preserve">escape</t>
        </is>
      </c>
      <c r="B317" s="2" t="inlineStr">
        <is>
          <t xml:space="preserve">NOI - National round</t>
        </is>
      </c>
      <c r="C317" s="8" t="inlineStr">
        <is>
          <t xml:space="preserve">C</t>
        </is>
      </c>
      <c r="D317" s="8">
        <v>2025</v>
      </c>
      <c r="E317" s="6">
        <v>4</v>
      </c>
      <c r="F317" s="2" t="inlineStr">
        <is>
          <t xml:space="preserve">Hard</t>
        </is>
      </c>
      <c r="G317" s="2" t="inlineStr">
        <is>
          <t xml:space="preserve">Binary search</t>
        </is>
      </c>
      <c r="H317" s="2" t="inlineStr">
        <is>
          <t xml:space="preserve">Shortest path</t>
        </is>
      </c>
      <c r="I317" s="2" t="inlineStr">
        <is>
          <t xml:space="preserve">Sorting, Priority queue, Long long</t>
        </is>
      </c>
      <c r="J317" s="2" t="inlineStr">
        <is>
          <t xml:space="preserve">Minimise the worst jump (MST/binary search), then Dijkstra within those edges</t>
        </is>
      </c>
      <c r="K317" s="2" t="inlineStr">
        <is>
          <t xml:space="preserve">Двоично търсене (binary search); Графи / Минимално покриващо дърво (Minimal Spanning Tree)</t>
        </is>
      </c>
      <c r="L317" s="9" t="str">
        <f>HYPERLINK("https://arena.olimpiici.com/#/catalog/868/problem/102336","open problem")</f>
        <v>open problem</v>
      </c>
    </row>
    <row r="318">
      <c r="A318" s="2" t="inlineStr">
        <is>
          <t xml:space="preserve">fair</t>
        </is>
      </c>
      <c r="B318" s="2" t="inlineStr">
        <is>
          <t xml:space="preserve">NOI - National round</t>
        </is>
      </c>
      <c r="C318" s="8" t="inlineStr">
        <is>
          <t xml:space="preserve">C</t>
        </is>
      </c>
      <c r="D318" s="8">
        <v>2025</v>
      </c>
      <c r="E318" s="5">
        <v>3</v>
      </c>
      <c r="F318" s="2" t="inlineStr">
        <is>
          <t xml:space="preserve">Medium</t>
        </is>
      </c>
      <c r="G318" s="2" t="inlineStr">
        <is>
          <t xml:space="preserve">Prefix sums</t>
        </is>
      </c>
      <c r="H318" s="2" t="inlineStr">
        <is>
          <t xml:space="preserve">Hashing / Maps</t>
        </is>
      </c>
      <c r="I318" s="2" t="inlineStr">
        <is>
          <t xml:space="preserve">Prefix sums, Maps, Long long</t>
        </is>
      </c>
      <c r="J318" s="2" t="inlineStr">
        <is>
          <t xml:space="preserve">Alternating prefix sums: equal values at both ends mean a fair subarray</t>
        </is>
      </c>
      <c r="K318" s="2" t="inlineStr">
        <is>
          <t xml:space="preserve"/>
        </is>
      </c>
      <c r="L318" s="9" t="str">
        <f>HYPERLINK("https://arena.olimpiici.com/#/catalog/868/problem/102337","open problem")</f>
        <v>open problem</v>
      </c>
    </row>
    <row r="319">
      <c r="A319" s="2" t="inlineStr">
        <is>
          <t xml:space="preserve">jumps</t>
        </is>
      </c>
      <c r="B319" s="2" t="inlineStr">
        <is>
          <t xml:space="preserve">NOI - National round</t>
        </is>
      </c>
      <c r="C319" s="8" t="inlineStr">
        <is>
          <t xml:space="preserve">C</t>
        </is>
      </c>
      <c r="D319" s="8">
        <v>2025</v>
      </c>
      <c r="E319" s="5">
        <v>3</v>
      </c>
      <c r="F319" s="2" t="inlineStr">
        <is>
          <t xml:space="preserve">Medium</t>
        </is>
      </c>
      <c r="G319" s="2" t="inlineStr">
        <is>
          <t xml:space="preserve">Greedy</t>
        </is>
      </c>
      <c r="H319" s="2" t="inlineStr">
        <is>
          <t xml:space="preserve">Dynamic programming</t>
        </is>
      </c>
      <c r="I319" s="2" t="inlineStr">
        <is>
          <t xml:space="preserve">Arrays, Loops, Memory optimization</t>
        </is>
      </c>
      <c r="J319" s="2" t="inlineStr">
        <is>
          <t xml:space="preserve">Classic jump game: extend the reachable frontier greedily within 5 MB</t>
        </is>
      </c>
      <c r="K319" s="2" t="inlineStr">
        <is>
          <t xml:space="preserve">Динамично програмиране (Dynamic programming); Greedy</t>
        </is>
      </c>
      <c r="L319" s="9" t="str">
        <f>HYPERLINK("https://arena.olimpiici.com/#/catalog/868/problem/102338","open problem")</f>
        <v>open problem</v>
      </c>
    </row>
    <row r="320">
      <c r="A320" s="2" t="inlineStr">
        <is>
          <t xml:space="preserve">chess</t>
        </is>
      </c>
      <c r="B320" s="2" t="inlineStr">
        <is>
          <t xml:space="preserve">NOI - National round</t>
        </is>
      </c>
      <c r="C320" s="8" t="inlineStr">
        <is>
          <t xml:space="preserve">C</t>
        </is>
      </c>
      <c r="D320" s="8">
        <v>2025</v>
      </c>
      <c r="E320" s="6">
        <v>4</v>
      </c>
      <c r="F320" s="2" t="inlineStr">
        <is>
          <t xml:space="preserve">Hard</t>
        </is>
      </c>
      <c r="G320" s="2" t="inlineStr">
        <is>
          <t xml:space="preserve">Prefix sums</t>
        </is>
      </c>
      <c r="H320" s="2" t="inlineStr">
        <is>
          <t xml:space="preserve">Ad hoc / Observation</t>
        </is>
      </c>
      <c r="I320" s="2" t="inlineStr">
        <is>
          <t xml:space="preserve">Arrays, Modular arithmetic, Long long</t>
        </is>
      </c>
      <c r="J320" s="2" t="inlineStr">
        <is>
          <t xml:space="preserve">Process steps backwards accumulating repeat multipliers, then a difference array</t>
        </is>
      </c>
      <c r="K320" s="2" t="inlineStr">
        <is>
          <t xml:space="preserve">Геометрия / Метяща права (sweep line)</t>
        </is>
      </c>
      <c r="L320" s="9" t="str">
        <f>HYPERLINK("https://arena.olimpiici.com/#/catalog/868/problem/102339","open problem")</f>
        <v>open problem</v>
      </c>
    </row>
    <row r="321">
      <c r="A321" s="2" t="inlineStr">
        <is>
          <t xml:space="preserve">divsum</t>
        </is>
      </c>
      <c r="B321" s="2" t="inlineStr">
        <is>
          <t xml:space="preserve">NOI - National round</t>
        </is>
      </c>
      <c r="C321" s="8" t="inlineStr">
        <is>
          <t xml:space="preserve">C</t>
        </is>
      </c>
      <c r="D321" s="8">
        <v>2025</v>
      </c>
      <c r="E321" s="6">
        <v>4</v>
      </c>
      <c r="F321" s="2" t="inlineStr">
        <is>
          <t xml:space="preserve">Hard</t>
        </is>
      </c>
      <c r="G321" s="2" t="inlineStr">
        <is>
          <t xml:space="preserve">Number theory</t>
        </is>
      </c>
      <c r="H321" s="2" t="inlineStr">
        <is>
          <t xml:space="preserve">Math / Formula</t>
        </is>
      </c>
      <c r="I321" s="2" t="inlineStr">
        <is>
          <t xml:space="preserve">Long long, Math, Loops</t>
        </is>
      </c>
      <c r="J321" s="2" t="inlineStr">
        <is>
          <t xml:space="preserve">Factorise up to 10^14 by trial division to 10^7, sigma is multiplicative</t>
        </is>
      </c>
      <c r="K321" s="2" t="inlineStr">
        <is>
          <t xml:space="preserve">Математика / Теория на числата</t>
        </is>
      </c>
      <c r="L321" s="9" t="str">
        <f>HYPERLINK("https://arena.olimpiici.com/#/catalog/868/problem/102340","open problem")</f>
        <v>open problem</v>
      </c>
    </row>
    <row r="322">
      <c r="A322" s="2" t="inlineStr">
        <is>
          <t xml:space="preserve">recover</t>
        </is>
      </c>
      <c r="B322" s="2" t="inlineStr">
        <is>
          <t xml:space="preserve">NOI - National round</t>
        </is>
      </c>
      <c r="C322" s="8" t="inlineStr">
        <is>
          <t xml:space="preserve">C</t>
        </is>
      </c>
      <c r="D322" s="8">
        <v>2025</v>
      </c>
      <c r="E322" s="7">
        <v>5</v>
      </c>
      <c r="F322" s="2" t="inlineStr">
        <is>
          <t xml:space="preserve">Very hard</t>
        </is>
      </c>
      <c r="G322" s="2" t="inlineStr">
        <is>
          <t xml:space="preserve">Math / Formula</t>
        </is>
      </c>
      <c r="H322" s="2" t="inlineStr">
        <is>
          <t xml:space="preserve">Dynamic programming</t>
        </is>
      </c>
      <c r="I322" s="2" t="inlineStr">
        <is>
          <t xml:space="preserve">Sorting, Arrays, Long long</t>
        </is>
      </c>
      <c r="J322" s="2" t="inlineStr">
        <is>
          <t xml:space="preserve">Each sum is total minus one element: recover values, then find which were doubled</t>
        </is>
      </c>
      <c r="K322" s="2" t="inlineStr">
        <is>
          <t xml:space="preserve">Динамично програмиране (Dynamic programming); Математика</t>
        </is>
      </c>
      <c r="L322" s="9" t="str">
        <f>HYPERLINK("https://arena.olimpiici.com/#/catalog/868/problem/102341","open problem")</f>
        <v>open problem</v>
      </c>
    </row>
    <row r="323">
      <c r="A323" s="2" t="inlineStr">
        <is>
          <t xml:space="preserve">teams</t>
        </is>
      </c>
      <c r="B323" s="2" t="inlineStr">
        <is>
          <t xml:space="preserve">NOI - National round</t>
        </is>
      </c>
      <c r="C323" s="8" t="inlineStr">
        <is>
          <t xml:space="preserve">C</t>
        </is>
      </c>
      <c r="D323" s="8">
        <v>2026</v>
      </c>
      <c r="E323" s="7">
        <v>5</v>
      </c>
      <c r="F323" s="2" t="inlineStr">
        <is>
          <t xml:space="preserve">Very hard</t>
        </is>
      </c>
      <c r="G323" s="2" t="inlineStr">
        <is>
          <t xml:space="preserve">Dynamic programming</t>
        </is>
      </c>
      <c r="H323" s="2" t="inlineStr">
        <is>
          <t xml:space="preserve">Bit manipulation</t>
        </is>
      </c>
      <c r="I323" s="2" t="inlineStr">
        <is>
          <t xml:space="preserve">2D arrays, Arrays, Long long</t>
        </is>
      </c>
      <c r="J323" s="2" t="inlineStr">
        <is>
          <t xml:space="preserve">DP over the skill difference, tracking best and worst popularity per state</t>
        </is>
      </c>
      <c r="K323" s="2" t="inlineStr">
        <is>
          <t xml:space="preserve"/>
        </is>
      </c>
      <c r="L323" s="9" t="str">
        <f>HYPERLINK("https://arena.olimpiici.com/#/catalog/935/problem/102638","open problem")</f>
        <v>open problem</v>
      </c>
    </row>
    <row r="324">
      <c r="A324" s="2" t="inlineStr">
        <is>
          <t xml:space="preserve">panflute</t>
        </is>
      </c>
      <c r="B324" s="2" t="inlineStr">
        <is>
          <t xml:space="preserve">NOI - National round</t>
        </is>
      </c>
      <c r="C324" s="8" t="inlineStr">
        <is>
          <t xml:space="preserve">C</t>
        </is>
      </c>
      <c r="D324" s="8">
        <v>2026</v>
      </c>
      <c r="E324" s="6">
        <v>4</v>
      </c>
      <c r="F324" s="2" t="inlineStr">
        <is>
          <t xml:space="preserve">Hard</t>
        </is>
      </c>
      <c r="G324" s="2" t="inlineStr">
        <is>
          <t xml:space="preserve">Binary search</t>
        </is>
      </c>
      <c r="H324" s="2" t="inlineStr">
        <is>
          <t xml:space="preserve">Prefix sums</t>
        </is>
      </c>
      <c r="I324" s="2" t="inlineStr">
        <is>
          <t xml:space="preserve">Sorting, Prefix sums, Binary search</t>
        </is>
      </c>
      <c r="J324" s="2" t="inlineStr">
        <is>
          <t xml:space="preserve">Radiation at (x,t) sums over sources within distance t: binary search the sorted sources</t>
        </is>
      </c>
      <c r="K324" s="2" t="inlineStr">
        <is>
          <t xml:space="preserve"/>
        </is>
      </c>
      <c r="L324" s="9" t="str">
        <f>HYPERLINK("https://arena.olimpiici.com/#/catalog/935/problem/102639","open problem")</f>
        <v>open problem</v>
      </c>
    </row>
    <row r="325">
      <c r="A325" s="2" t="inlineStr">
        <is>
          <t xml:space="preserve">walk</t>
        </is>
      </c>
      <c r="B325" s="2" t="inlineStr">
        <is>
          <t xml:space="preserve">NOI - National round</t>
        </is>
      </c>
      <c r="C325" s="8" t="inlineStr">
        <is>
          <t xml:space="preserve">C</t>
        </is>
      </c>
      <c r="D325" s="8">
        <v>2026</v>
      </c>
      <c r="E325" s="7">
        <v>5</v>
      </c>
      <c r="F325" s="2" t="inlineStr">
        <is>
          <t xml:space="preserve">Very hard</t>
        </is>
      </c>
      <c r="G325" s="2" t="inlineStr">
        <is>
          <t xml:space="preserve">Binary search</t>
        </is>
      </c>
      <c r="H325" s="2" t="inlineStr">
        <is>
          <t xml:space="preserve">Dynamic programming</t>
        </is>
      </c>
      <c r="I325" s="2" t="inlineStr">
        <is>
          <t xml:space="preserve">Vectors, Arrays, Long long</t>
        </is>
      </c>
      <c r="J325" s="2" t="inlineStr">
        <is>
          <t xml:space="preserve">Binary search the danger cap, then DAG DP for a path with exactly L edges</t>
        </is>
      </c>
      <c r="K325" s="2" t="inlineStr">
        <is>
          <t xml:space="preserve"/>
        </is>
      </c>
      <c r="L325" s="9" t="str">
        <f>HYPERLINK("https://arena.olimpiici.com/#/catalog/935/problem/102640","open problem")</f>
        <v>open problem</v>
      </c>
    </row>
    <row r="326">
      <c r="A326" s="2" t="inlineStr">
        <is>
          <t xml:space="preserve">cak</t>
        </is>
      </c>
      <c r="B326" s="2" t="inlineStr">
        <is>
          <t xml:space="preserve">NOI - National round</t>
        </is>
      </c>
      <c r="C326" s="8" t="inlineStr">
        <is>
          <t xml:space="preserve">C</t>
        </is>
      </c>
      <c r="D326" s="8">
        <v>2026</v>
      </c>
      <c r="E326" s="7">
        <v>5</v>
      </c>
      <c r="F326" s="2" t="inlineStr">
        <is>
          <t xml:space="preserve">Very hard</t>
        </is>
      </c>
      <c r="G326" s="2" t="inlineStr">
        <is>
          <t xml:space="preserve">Big numbers</t>
        </is>
      </c>
      <c r="H326" s="2" t="inlineStr">
        <is>
          <t xml:space="preserve">Number theory</t>
        </is>
      </c>
      <c r="I326" s="2" t="inlineStr">
        <is>
          <t xml:space="preserve">Big integers, Strings, Math</t>
        </is>
      </c>
      <c r="J326" s="2" t="inlineStr">
        <is>
          <t xml:space="preserve">Count digits 5/7 up to a 5000-digit N, plus Legendre exponents of 5 and 7 in N!</t>
        </is>
      </c>
      <c r="K326" s="2" t="inlineStr">
        <is>
          <t xml:space="preserve"/>
        </is>
      </c>
      <c r="L326" s="9" t="str">
        <f>HYPERLINK("https://arena.olimpiici.com/#/catalog/935/problem/102641","open problem")</f>
        <v>open problem</v>
      </c>
    </row>
    <row r="327">
      <c r="A327" s="2" t="inlineStr">
        <is>
          <t xml:space="preserve">routes</t>
        </is>
      </c>
      <c r="B327" s="2" t="inlineStr">
        <is>
          <t xml:space="preserve">NOI - National round</t>
        </is>
      </c>
      <c r="C327" s="8" t="inlineStr">
        <is>
          <t xml:space="preserve">C</t>
        </is>
      </c>
      <c r="D327" s="8">
        <v>2026</v>
      </c>
      <c r="E327" s="7">
        <v>5</v>
      </c>
      <c r="F327" s="2" t="inlineStr">
        <is>
          <t xml:space="preserve">Very hard</t>
        </is>
      </c>
      <c r="G327" s="2" t="inlineStr">
        <is>
          <t xml:space="preserve">Graph traversal (BFS/DFS)</t>
        </is>
      </c>
      <c r="H327" s="2" t="inlineStr">
        <is>
          <t xml:space="preserve">Constructive</t>
        </is>
      </c>
      <c r="I327" s="2" t="inlineStr">
        <is>
          <t xml:space="preserve">2D arrays, Queues, Grid/Matrix</t>
        </is>
      </c>
      <c r="J327" s="2" t="inlineStr">
        <is>
          <t xml:space="preserve">Maximum vertex-disjoint routes equals a min cut; build them by repeated BFS</t>
        </is>
      </c>
      <c r="K327" s="2" t="inlineStr">
        <is>
          <t xml:space="preserve"/>
        </is>
      </c>
      <c r="L327" s="9" t="str">
        <f>HYPERLINK("https://arena.olimpiici.com/#/catalog/935/problem/102642","open problem")</f>
        <v>open problem</v>
      </c>
    </row>
    <row r="328">
      <c r="A328" s="2" t="inlineStr">
        <is>
          <t xml:space="preserve">trendy</t>
        </is>
      </c>
      <c r="B328" s="2" t="inlineStr">
        <is>
          <t xml:space="preserve">NOI - National round</t>
        </is>
      </c>
      <c r="C328" s="8" t="inlineStr">
        <is>
          <t xml:space="preserve">C</t>
        </is>
      </c>
      <c r="D328" s="8">
        <v>2026</v>
      </c>
      <c r="E328" s="6">
        <v>4</v>
      </c>
      <c r="F328" s="2" t="inlineStr">
        <is>
          <t xml:space="preserve">Hard</t>
        </is>
      </c>
      <c r="G328" s="2" t="inlineStr">
        <is>
          <t xml:space="preserve">Number theory</t>
        </is>
      </c>
      <c r="H328" s="2" t="inlineStr">
        <is>
          <t xml:space="preserve">Dynamic programming</t>
        </is>
      </c>
      <c r="I328" s="2" t="inlineStr">
        <is>
          <t xml:space="preserve">Vectors, Long long, Modular arithmetic</t>
        </is>
      </c>
      <c r="J328" s="2" t="inlineStr">
        <is>
          <t xml:space="preserve">Per right end only O(log) distinct gcds survive: carry them forward and sum</t>
        </is>
      </c>
      <c r="K328" s="2" t="inlineStr">
        <is>
          <t xml:space="preserve"/>
        </is>
      </c>
      <c r="L328" s="9" t="str">
        <f>HYPERLINK("https://arena.olimpiici.com/#/catalog/935/problem/102643","open problem")</f>
        <v>open problem</v>
      </c>
    </row>
    <row r="329">
      <c r="A329" s="2" t="inlineStr">
        <is>
          <t xml:space="preserve">ones</t>
        </is>
      </c>
      <c r="B329" s="2" t="inlineStr">
        <is>
          <t xml:space="preserve">NOI - National round</t>
        </is>
      </c>
      <c r="C329" s="8" t="inlineStr">
        <is>
          <t xml:space="preserve">D</t>
        </is>
      </c>
      <c r="D329" s="8">
        <v>2009</v>
      </c>
      <c r="E329" s="5">
        <v>3</v>
      </c>
      <c r="F329" s="2" t="inlineStr">
        <is>
          <t xml:space="preserve">Medium</t>
        </is>
      </c>
      <c r="G329" s="2" t="inlineStr">
        <is>
          <t xml:space="preserve">Big numbers</t>
        </is>
      </c>
      <c r="H329" s="2" t="inlineStr">
        <is>
          <t xml:space="preserve">Math / Formula</t>
        </is>
      </c>
      <c r="I329" s="2" t="inlineStr">
        <is>
          <t xml:space="preserve">Big integers, Arrays, Loops</t>
        </is>
      </c>
      <c r="J329" s="2" t="inlineStr">
        <is>
          <t xml:space="preserve">Repunit squared has a known digit pattern; build the 2n-digit answer directly</t>
        </is>
      </c>
      <c r="K329" s="2" t="inlineStr">
        <is>
          <t xml:space="preserve">Дълги числа (Big numbers)</t>
        </is>
      </c>
      <c r="L329" s="9" t="str">
        <f>HYPERLINK("https://arena.olimpiici.com/#/catalog/211/problem/100511","open problem")</f>
        <v>open problem</v>
      </c>
    </row>
    <row r="330">
      <c r="A330" s="2" t="inlineStr">
        <is>
          <t xml:space="preserve">clock</t>
        </is>
      </c>
      <c r="B330" s="2" t="inlineStr">
        <is>
          <t xml:space="preserve">NOI - National round</t>
        </is>
      </c>
      <c r="C330" s="8" t="inlineStr">
        <is>
          <t xml:space="preserve">D</t>
        </is>
      </c>
      <c r="D330" s="8">
        <v>2009</v>
      </c>
      <c r="E330" s="4">
        <v>2</v>
      </c>
      <c r="F330" s="2" t="inlineStr">
        <is>
          <t xml:space="preserve">Easy</t>
        </is>
      </c>
      <c r="G330" s="2" t="inlineStr">
        <is>
          <t xml:space="preserve">Math / Formula</t>
        </is>
      </c>
      <c r="H330" s="2" t="inlineStr">
        <is>
          <t xml:space="preserve">Implementation / Simulation</t>
        </is>
      </c>
      <c r="I330" s="2" t="inlineStr">
        <is>
          <t xml:space="preserve">Math, Loops</t>
        </is>
      </c>
      <c r="J330" s="2" t="inlineStr">
        <is>
          <t xml:space="preserve">Hands meet every 720/11 minutes; compute the wait from the current time</t>
        </is>
      </c>
      <c r="K330" s="2" t="inlineStr">
        <is>
          <t xml:space="preserve">Математика</t>
        </is>
      </c>
      <c r="L330" s="9" t="str">
        <f>HYPERLINK("https://arena.olimpiici.com/#/catalog/211/problem/100512","open problem")</f>
        <v>open problem</v>
      </c>
    </row>
    <row r="331">
      <c r="A331" s="2" t="inlineStr">
        <is>
          <t xml:space="preserve">product</t>
        </is>
      </c>
      <c r="B331" s="2" t="inlineStr">
        <is>
          <t xml:space="preserve">NOI - National round</t>
        </is>
      </c>
      <c r="C331" s="8" t="inlineStr">
        <is>
          <t xml:space="preserve">D</t>
        </is>
      </c>
      <c r="D331" s="8">
        <v>2009</v>
      </c>
      <c r="E331" s="4">
        <v>2</v>
      </c>
      <c r="F331" s="2" t="inlineStr">
        <is>
          <t xml:space="preserve">Easy</t>
        </is>
      </c>
      <c r="G331" s="2" t="inlineStr">
        <is>
          <t xml:space="preserve">Two pointers / Sliding window</t>
        </is>
      </c>
      <c r="H331" s="2" t="inlineStr">
        <is>
          <t xml:space="preserve">Brute force</t>
        </is>
      </c>
      <c r="I331" s="2" t="inlineStr">
        <is>
          <t xml:space="preserve">Arrays, Long long, Loops</t>
        </is>
      </c>
      <c r="J331" s="2" t="inlineStr">
        <is>
          <t xml:space="preserve">Take the leading digit of each number, slide a window of M and multiply</t>
        </is>
      </c>
      <c r="K331" s="2" t="inlineStr">
        <is>
          <t xml:space="preserve"/>
        </is>
      </c>
      <c r="L331" s="9" t="str">
        <f>HYPERLINK("https://arena.olimpiici.com/#/catalog/211/problem/100513","open problem")</f>
        <v>open problem</v>
      </c>
    </row>
    <row r="332">
      <c r="A332" s="2" t="inlineStr">
        <is>
          <t xml:space="preserve">soil</t>
        </is>
      </c>
      <c r="B332" s="2" t="inlineStr">
        <is>
          <t xml:space="preserve">NOI - National round</t>
        </is>
      </c>
      <c r="C332" s="8" t="inlineStr">
        <is>
          <t xml:space="preserve">D</t>
        </is>
      </c>
      <c r="D332" s="8">
        <v>2009</v>
      </c>
      <c r="E332" s="5">
        <v>3</v>
      </c>
      <c r="F332" s="2" t="inlineStr">
        <is>
          <t xml:space="preserve">Medium</t>
        </is>
      </c>
      <c r="G332" s="2" t="inlineStr">
        <is>
          <t xml:space="preserve">Implementation / Simulation</t>
        </is>
      </c>
      <c r="H332" s="2" t="inlineStr">
        <is>
          <t xml:space="preserve">Sorting</t>
        </is>
      </c>
      <c r="I332" s="2" t="inlineStr">
        <is>
          <t xml:space="preserve">Sorting, Math, Structs</t>
        </is>
      </c>
      <c r="J332" s="2" t="inlineStr">
        <is>
          <t xml:space="preserve">Volume of pit minus steps, rounded down, then sort sites by earth volume</t>
        </is>
      </c>
      <c r="K332" s="2" t="inlineStr">
        <is>
          <t xml:space="preserve"/>
        </is>
      </c>
      <c r="L332" s="9" t="str">
        <f>HYPERLINK("https://arena.olimpiici.com/#/catalog/211/problem/100514","open problem")</f>
        <v>open problem</v>
      </c>
    </row>
    <row r="333">
      <c r="A333" s="2" t="inlineStr">
        <is>
          <t xml:space="preserve">pigfarm</t>
        </is>
      </c>
      <c r="B333" s="2" t="inlineStr">
        <is>
          <t xml:space="preserve">NOI - National round</t>
        </is>
      </c>
      <c r="C333" s="8" t="inlineStr">
        <is>
          <t xml:space="preserve">D</t>
        </is>
      </c>
      <c r="D333" s="8">
        <v>2009</v>
      </c>
      <c r="E333" s="5">
        <v>3</v>
      </c>
      <c r="F333" s="2" t="inlineStr">
        <is>
          <t xml:space="preserve">Medium</t>
        </is>
      </c>
      <c r="G333" s="2" t="inlineStr">
        <is>
          <t xml:space="preserve">Greedy</t>
        </is>
      </c>
      <c r="H333" s="2" t="inlineStr">
        <is>
          <t xml:space="preserve">Sorting</t>
        </is>
      </c>
      <c r="I333" s="2" t="inlineStr">
        <is>
          <t xml:space="preserve">Sorting, Arrays, Long long</t>
        </is>
      </c>
      <c r="J333" s="2" t="inlineStr">
        <is>
          <t xml:space="preserve">Pair arrivals with removals so growth times are as long as possible</t>
        </is>
      </c>
      <c r="K333" s="2" t="inlineStr">
        <is>
          <t xml:space="preserve">Сортиране (sorting); Метод на показалките / 2-pointers; STL / Стек (stack)</t>
        </is>
      </c>
      <c r="L333" s="9" t="str">
        <f>HYPERLINK("https://arena.olimpiici.com/#/catalog/211/problem/100515","open problem")</f>
        <v>open problem</v>
      </c>
    </row>
    <row r="334">
      <c r="A334" s="2" t="inlineStr">
        <is>
          <t xml:space="preserve">bouquet</t>
        </is>
      </c>
      <c r="B334" s="2" t="inlineStr">
        <is>
          <t xml:space="preserve">NOI - National round</t>
        </is>
      </c>
      <c r="C334" s="8" t="inlineStr">
        <is>
          <t xml:space="preserve">D</t>
        </is>
      </c>
      <c r="D334" s="8">
        <v>2009</v>
      </c>
      <c r="E334" s="5">
        <v>3</v>
      </c>
      <c r="F334" s="2" t="inlineStr">
        <is>
          <t xml:space="preserve">Medium</t>
        </is>
      </c>
      <c r="G334" s="2" t="inlineStr">
        <is>
          <t xml:space="preserve">Number theory</t>
        </is>
      </c>
      <c r="H334" s="2" t="inlineStr">
        <is>
          <t xml:space="preserve">Math / Formula</t>
        </is>
      </c>
      <c r="I334" s="2" t="inlineStr">
        <is>
          <t xml:space="preserve">Math, Long long, Loops</t>
        </is>
      </c>
      <c r="J334" s="2" t="inlineStr">
        <is>
          <t xml:space="preserve">Smallest x with x mod lcm(n,m,k,l)=1 and x mod p=0</t>
        </is>
      </c>
      <c r="K334" s="2" t="inlineStr">
        <is>
          <t xml:space="preserve">Математика / НОД - Алгоритъм на Евклид</t>
        </is>
      </c>
      <c r="L334" s="9" t="str">
        <f>HYPERLINK("https://arena.olimpiici.com/#/catalog/211/problem/100516","open problem")</f>
        <v>open problem</v>
      </c>
    </row>
    <row r="335">
      <c r="A335" s="2" t="inlineStr">
        <is>
          <t xml:space="preserve">tiling</t>
        </is>
      </c>
      <c r="B335" s="2" t="inlineStr">
        <is>
          <t xml:space="preserve">NOI - National round</t>
        </is>
      </c>
      <c r="C335" s="8" t="inlineStr">
        <is>
          <t xml:space="preserve">D</t>
        </is>
      </c>
      <c r="D335" s="8">
        <v>2010</v>
      </c>
      <c r="E335" s="6">
        <v>4</v>
      </c>
      <c r="F335" s="2" t="inlineStr">
        <is>
          <t xml:space="preserve">Hard</t>
        </is>
      </c>
      <c r="G335" s="2" t="inlineStr">
        <is>
          <t xml:space="preserve">Constructive</t>
        </is>
      </c>
      <c r="H335" s="2" t="inlineStr">
        <is>
          <t xml:space="preserve">Grid/Matrix</t>
        </is>
      </c>
      <c r="I335" s="2" t="inlineStr">
        <is>
          <t xml:space="preserve">2D arrays, Grid/Matrix, Math</t>
        </is>
      </c>
      <c r="J335" s="2" t="inlineStr">
        <is>
          <t xml:space="preserve">Parity of the blocked cell decides whether a cut is needed; then maximise vertical tiles</t>
        </is>
      </c>
      <c r="K335" s="2" t="inlineStr">
        <is>
          <t xml:space="preserve"/>
        </is>
      </c>
      <c r="L335" s="9" t="str">
        <f>HYPERLINK("https://arena.olimpiici.com/#/catalog/216/problem/100537","open problem")</f>
        <v>open problem</v>
      </c>
    </row>
    <row r="336">
      <c r="A336" s="2" t="inlineStr">
        <is>
          <t xml:space="preserve">water</t>
        </is>
      </c>
      <c r="B336" s="2" t="inlineStr">
        <is>
          <t xml:space="preserve">NOI - National round</t>
        </is>
      </c>
      <c r="C336" s="8" t="inlineStr">
        <is>
          <t xml:space="preserve">D</t>
        </is>
      </c>
      <c r="D336" s="8">
        <v>2010</v>
      </c>
      <c r="E336" s="5">
        <v>3</v>
      </c>
      <c r="F336" s="2" t="inlineStr">
        <is>
          <t xml:space="preserve">Medium</t>
        </is>
      </c>
      <c r="G336" s="2" t="inlineStr">
        <is>
          <t xml:space="preserve">Greedy</t>
        </is>
      </c>
      <c r="H336" s="2" t="inlineStr">
        <is>
          <t xml:space="preserve">Two pointers / Sliding window</t>
        </is>
      </c>
      <c r="I336" s="2" t="inlineStr">
        <is>
          <t xml:space="preserve">Sorting, Two pointers, Arrays</t>
        </is>
      </c>
      <c r="J336" s="2" t="inlineStr">
        <is>
          <t xml:space="preserve">Sort volumes and pair the largest with the smallest that still fits under k</t>
        </is>
      </c>
      <c r="K336" s="2" t="inlineStr">
        <is>
          <t xml:space="preserve">Сортиране (sorting); Метод на показалките / 2-pointers; Двоично търсене (binary search)</t>
        </is>
      </c>
      <c r="L336" s="9" t="str">
        <f>HYPERLINK("https://arena.olimpiici.com/#/catalog/216/problem/100538","open problem")</f>
        <v>open problem</v>
      </c>
    </row>
    <row r="337">
      <c r="A337" s="2" t="inlineStr">
        <is>
          <t xml:space="preserve">poker</t>
        </is>
      </c>
      <c r="B337" s="2" t="inlineStr">
        <is>
          <t xml:space="preserve">NOI - National round</t>
        </is>
      </c>
      <c r="C337" s="8" t="inlineStr">
        <is>
          <t xml:space="preserve">D</t>
        </is>
      </c>
      <c r="D337" s="8">
        <v>2010</v>
      </c>
      <c r="E337" s="4">
        <v>2</v>
      </c>
      <c r="F337" s="2" t="inlineStr">
        <is>
          <t xml:space="preserve">Easy</t>
        </is>
      </c>
      <c r="G337" s="2" t="inlineStr">
        <is>
          <t xml:space="preserve">Counting / Frequency arrays</t>
        </is>
      </c>
      <c r="H337" s="2" t="inlineStr">
        <is>
          <t xml:space="preserve">Implementation / Simulation</t>
        </is>
      </c>
      <c r="I337" s="2" t="inlineStr">
        <is>
          <t xml:space="preserve">Counting array, Arrays, Loops</t>
        </is>
      </c>
      <c r="J337" s="2" t="inlineStr">
        <is>
          <t xml:space="preserve">Count card multiplicities per player and map the pattern to a score</t>
        </is>
      </c>
      <c r="K337" s="2" t="inlineStr">
        <is>
          <t xml:space="preserve">Сортиране (sorting); Сортиране с броене (counting sort); STL / pair</t>
        </is>
      </c>
      <c r="L337" s="9" t="str">
        <f>HYPERLINK("https://arena.olimpiici.com/#/catalog/216/problem/100539","open problem")</f>
        <v>open problem</v>
      </c>
    </row>
    <row r="338">
      <c r="A338" s="2" t="inlineStr">
        <is>
          <t xml:space="preserve">flag</t>
        </is>
      </c>
      <c r="B338" s="2" t="inlineStr">
        <is>
          <t xml:space="preserve">NOI - National round</t>
        </is>
      </c>
      <c r="C338" s="8" t="inlineStr">
        <is>
          <t xml:space="preserve">D</t>
        </is>
      </c>
      <c r="D338" s="8">
        <v>2010</v>
      </c>
      <c r="E338" s="5">
        <v>3</v>
      </c>
      <c r="F338" s="2" t="inlineStr">
        <is>
          <t xml:space="preserve">Medium</t>
        </is>
      </c>
      <c r="G338" s="2" t="inlineStr">
        <is>
          <t xml:space="preserve">Greedy</t>
        </is>
      </c>
      <c r="H338" s="2" t="inlineStr">
        <is>
          <t xml:space="preserve">Constructive</t>
        </is>
      </c>
      <c r="I338" s="2" t="inlineStr">
        <is>
          <t xml:space="preserve">Strings, Arrays, Two pointers</t>
        </is>
      </c>
      <c r="J338" s="2" t="inlineStr">
        <is>
          <t xml:space="preserve">Dutch-flag partition: swap misplaced balls into their colour blocks</t>
        </is>
      </c>
      <c r="K338" s="2" t="inlineStr">
        <is>
          <t xml:space="preserve"/>
        </is>
      </c>
      <c r="L338" s="9" t="str">
        <f>HYPERLINK("https://arena.olimpiici.com/#/catalog/216/problem/100540","open problem")</f>
        <v>open problem</v>
      </c>
    </row>
    <row r="339">
      <c r="A339" s="2" t="inlineStr">
        <is>
          <t xml:space="preserve">last</t>
        </is>
      </c>
      <c r="B339" s="2" t="inlineStr">
        <is>
          <t xml:space="preserve">NOI - National round</t>
        </is>
      </c>
      <c r="C339" s="8" t="inlineStr">
        <is>
          <t xml:space="preserve">D</t>
        </is>
      </c>
      <c r="D339" s="8">
        <v>2010</v>
      </c>
      <c r="E339" s="5">
        <v>3</v>
      </c>
      <c r="F339" s="2" t="inlineStr">
        <is>
          <t xml:space="preserve">Medium</t>
        </is>
      </c>
      <c r="G339" s="2" t="inlineStr">
        <is>
          <t xml:space="preserve">Number theory</t>
        </is>
      </c>
      <c r="H339" s="2" t="inlineStr">
        <is>
          <t xml:space="preserve">Counting / Frequency arrays</t>
        </is>
      </c>
      <c r="I339" s="2" t="inlineStr">
        <is>
          <t xml:space="preserve">Counting array, Math, Long long</t>
        </is>
      </c>
      <c r="J339" s="2" t="inlineStr">
        <is>
          <t xml:space="preserve">Factor all a_i, add exponents, the divisor count is the product of (e+1)</t>
        </is>
      </c>
      <c r="K339" s="2" t="inlineStr">
        <is>
          <t xml:space="preserve">Математика / Прости числа; Броене с масив (counting)</t>
        </is>
      </c>
      <c r="L339" s="9" t="str">
        <f>HYPERLINK("https://arena.olimpiici.com/#/catalog/216/problem/100541","open problem")</f>
        <v>open problem</v>
      </c>
    </row>
    <row r="340">
      <c r="A340" s="2" t="inlineStr">
        <is>
          <t xml:space="preserve">machine</t>
        </is>
      </c>
      <c r="B340" s="2" t="inlineStr">
        <is>
          <t xml:space="preserve">NOI - National round</t>
        </is>
      </c>
      <c r="C340" s="8" t="inlineStr">
        <is>
          <t xml:space="preserve">D</t>
        </is>
      </c>
      <c r="D340" s="8">
        <v>2010</v>
      </c>
      <c r="E340" s="4">
        <v>2</v>
      </c>
      <c r="F340" s="2" t="inlineStr">
        <is>
          <t xml:space="preserve">Easy</t>
        </is>
      </c>
      <c r="G340" s="2" t="inlineStr">
        <is>
          <t xml:space="preserve">Sorting</t>
        </is>
      </c>
      <c r="H340" s="2" t="inlineStr">
        <is>
          <t xml:space="preserve">String processing</t>
        </is>
      </c>
      <c r="I340" s="2" t="inlineStr">
        <is>
          <t xml:space="preserve">Strings, Sorting, Long long</t>
        </is>
      </c>
      <c r="J340" s="2" t="inlineStr">
        <is>
          <t xml:space="preserve">Extract digits, build the largest and smallest numbers, then wrap the year in its cycle</t>
        </is>
      </c>
      <c r="K340" s="2" t="inlineStr">
        <is>
          <t xml:space="preserve">Сортиране (sorting); Сортиране с броене (counting sort)</t>
        </is>
      </c>
      <c r="L340" s="9" t="str">
        <f>HYPERLINK("https://arena.olimpiici.com/#/catalog/216/problem/100542","open problem")</f>
        <v>open problem</v>
      </c>
    </row>
    <row r="341">
      <c r="A341" s="2" t="inlineStr">
        <is>
          <t xml:space="preserve">word</t>
        </is>
      </c>
      <c r="B341" s="2" t="inlineStr">
        <is>
          <t xml:space="preserve">NOI - National round</t>
        </is>
      </c>
      <c r="C341" s="8" t="inlineStr">
        <is>
          <t xml:space="preserve">D</t>
        </is>
      </c>
      <c r="D341" s="8">
        <v>2011</v>
      </c>
      <c r="E341" s="5">
        <v>3</v>
      </c>
      <c r="F341" s="2" t="inlineStr">
        <is>
          <t xml:space="preserve">Medium</t>
        </is>
      </c>
      <c r="G341" s="2" t="inlineStr">
        <is>
          <t xml:space="preserve">String processing</t>
        </is>
      </c>
      <c r="H341" s="2" t="inlineStr">
        <is>
          <t xml:space="preserve">Implementation / Simulation</t>
        </is>
      </c>
      <c r="I341" s="2" t="inlineStr">
        <is>
          <t xml:space="preserve">Strings, Chars, I/O parsing</t>
        </is>
      </c>
      <c r="J341" s="2" t="inlineStr">
        <is>
          <t xml:space="preserve">Replace '*' with spaces, drop punctuation, then test each word's rules</t>
        </is>
      </c>
      <c r="K341" s="2" t="inlineStr">
        <is>
          <t xml:space="preserve">Basic / Низове (string); Разделяне на последователности</t>
        </is>
      </c>
      <c r="L341" s="9" t="str">
        <f>HYPERLINK("https://arena.olimpiici.com/#/catalog/221/problem/100563","open problem")</f>
        <v>open problem</v>
      </c>
    </row>
    <row r="342">
      <c r="A342" s="2" t="inlineStr">
        <is>
          <t xml:space="preserve">key</t>
        </is>
      </c>
      <c r="B342" s="2" t="inlineStr">
        <is>
          <t xml:space="preserve">NOI - National round</t>
        </is>
      </c>
      <c r="C342" s="8" t="inlineStr">
        <is>
          <t xml:space="preserve">D</t>
        </is>
      </c>
      <c r="D342" s="8">
        <v>2011</v>
      </c>
      <c r="E342" s="6">
        <v>4</v>
      </c>
      <c r="F342" s="2" t="inlineStr">
        <is>
          <t xml:space="preserve">Hard</t>
        </is>
      </c>
      <c r="G342" s="2" t="inlineStr">
        <is>
          <t xml:space="preserve">Constructive</t>
        </is>
      </c>
      <c r="H342" s="2" t="inlineStr">
        <is>
          <t xml:space="preserve">String processing</t>
        </is>
      </c>
      <c r="I342" s="2" t="inlineStr">
        <is>
          <t xml:space="preserve">Strings, Arrays, Math</t>
        </is>
      </c>
      <c r="J342" s="2" t="inlineStr">
        <is>
          <t xml:space="preserve">N rotations equal three reversals; find the fewest that reproduce the same word</t>
        </is>
      </c>
      <c r="K342" s="2" t="inlineStr">
        <is>
          <t xml:space="preserve"/>
        </is>
      </c>
      <c r="L342" s="9" t="str">
        <f>HYPERLINK("https://arena.olimpiici.com/#/catalog/221/problem/100564","open problem")</f>
        <v>open problem</v>
      </c>
    </row>
    <row r="343">
      <c r="A343" s="2" t="inlineStr">
        <is>
          <t xml:space="preserve">lottery</t>
        </is>
      </c>
      <c r="B343" s="2" t="inlineStr">
        <is>
          <t xml:space="preserve">NOI - National round</t>
        </is>
      </c>
      <c r="C343" s="8" t="inlineStr">
        <is>
          <t xml:space="preserve">D</t>
        </is>
      </c>
      <c r="D343" s="8">
        <v>2011</v>
      </c>
      <c r="E343" s="5">
        <v>3</v>
      </c>
      <c r="F343" s="2" t="inlineStr">
        <is>
          <t xml:space="preserve">Medium</t>
        </is>
      </c>
      <c r="G343" s="2" t="inlineStr">
        <is>
          <t xml:space="preserve">Number theory</t>
        </is>
      </c>
      <c r="H343" s="2" t="inlineStr">
        <is>
          <t xml:space="preserve">Counting / Frequency arrays</t>
        </is>
      </c>
      <c r="I343" s="2" t="inlineStr">
        <is>
          <t xml:space="preserve">Counting array, Arrays, Loops</t>
        </is>
      </c>
      <c r="J343" s="2" t="inlineStr">
        <is>
          <t xml:space="preserve">Sieve the window [p,q] by each a_i and count values hit exactly k times</t>
        </is>
      </c>
      <c r="K343" s="2" t="inlineStr">
        <is>
          <t xml:space="preserve">Сортиране (sorting); Разделяне на последователности; Математика / Решето на Ератостен</t>
        </is>
      </c>
      <c r="L343" s="9" t="str">
        <f>HYPERLINK("https://arena.olimpiici.com/#/catalog/221/problem/100565","open problem")</f>
        <v>open problem</v>
      </c>
    </row>
    <row r="344">
      <c r="A344" s="2" t="inlineStr">
        <is>
          <t xml:space="preserve">points</t>
        </is>
      </c>
      <c r="B344" s="2" t="inlineStr">
        <is>
          <t xml:space="preserve">NOI - National round</t>
        </is>
      </c>
      <c r="C344" s="8" t="inlineStr">
        <is>
          <t xml:space="preserve">D</t>
        </is>
      </c>
      <c r="D344" s="8">
        <v>2011</v>
      </c>
      <c r="E344" s="5">
        <v>3</v>
      </c>
      <c r="F344" s="2" t="inlineStr">
        <is>
          <t xml:space="preserve">Medium</t>
        </is>
      </c>
      <c r="G344" s="2" t="inlineStr">
        <is>
          <t xml:space="preserve">Grid/Matrix</t>
        </is>
      </c>
      <c r="H344" s="2" t="inlineStr">
        <is>
          <t xml:space="preserve">Counting / Frequency arrays</t>
        </is>
      </c>
      <c r="I344" s="2" t="inlineStr">
        <is>
          <t xml:space="preserve">2D arrays, Sorting, Counting array</t>
        </is>
      </c>
      <c r="J344" s="2" t="inlineStr">
        <is>
          <t xml:space="preserve">Scan rows, columns and diagonals for runs of consecutive values and score them</t>
        </is>
      </c>
      <c r="K344" s="2" t="inlineStr">
        <is>
          <t xml:space="preserve">Двумерни и многомерни масиви; Броене с масив (counting)</t>
        </is>
      </c>
      <c r="L344" s="9" t="str">
        <f>HYPERLINK("https://arena.olimpiici.com/#/catalog/221/problem/100566","open problem")</f>
        <v>open problem</v>
      </c>
    </row>
    <row r="345">
      <c r="A345" s="2" t="inlineStr">
        <is>
          <t xml:space="preserve">triangle</t>
        </is>
      </c>
      <c r="B345" s="2" t="inlineStr">
        <is>
          <t xml:space="preserve">NOI - National round</t>
        </is>
      </c>
      <c r="C345" s="8" t="inlineStr">
        <is>
          <t xml:space="preserve">D</t>
        </is>
      </c>
      <c r="D345" s="8">
        <v>2011</v>
      </c>
      <c r="E345" s="5">
        <v>3</v>
      </c>
      <c r="F345" s="2" t="inlineStr">
        <is>
          <t xml:space="preserve">Medium</t>
        </is>
      </c>
      <c r="G345" s="2" t="inlineStr">
        <is>
          <t xml:space="preserve">Number theory</t>
        </is>
      </c>
      <c r="H345" s="2" t="inlineStr">
        <is>
          <t xml:space="preserve">Math / Formula</t>
        </is>
      </c>
      <c r="I345" s="2" t="inlineStr">
        <is>
          <t xml:space="preserve">Math, Long long, Loops</t>
        </is>
      </c>
      <c r="J345" s="2" t="inlineStr">
        <is>
          <t xml:space="preserve">Row k holds multiples of k; find the first row containing a, then sum it</t>
        </is>
      </c>
      <c r="K345" s="2" t="inlineStr">
        <is>
          <t xml:space="preserve"/>
        </is>
      </c>
      <c r="L345" s="9" t="str">
        <f>HYPERLINK("https://arena.olimpiici.com/#/catalog/221/problem/100567","open problem")</f>
        <v>open problem</v>
      </c>
    </row>
    <row r="346">
      <c r="A346" s="2" t="inlineStr">
        <is>
          <t xml:space="preserve">super</t>
        </is>
      </c>
      <c r="B346" s="2" t="inlineStr">
        <is>
          <t xml:space="preserve">NOI - National round</t>
        </is>
      </c>
      <c r="C346" s="8" t="inlineStr">
        <is>
          <t xml:space="preserve">D</t>
        </is>
      </c>
      <c r="D346" s="8">
        <v>2011</v>
      </c>
      <c r="E346" s="5">
        <v>3</v>
      </c>
      <c r="F346" s="2" t="inlineStr">
        <is>
          <t xml:space="preserve">Medium</t>
        </is>
      </c>
      <c r="G346" s="2" t="inlineStr">
        <is>
          <t xml:space="preserve">Number theory</t>
        </is>
      </c>
      <c r="H346" s="2" t="inlineStr">
        <is>
          <t xml:space="preserve">Graph traversal (BFS/DFS)</t>
        </is>
      </c>
      <c r="I346" s="2" t="inlineStr">
        <is>
          <t xml:space="preserve">Arrays, Loops, Math</t>
        </is>
      </c>
      <c r="J346" s="2" t="inlineStr">
        <is>
          <t xml:space="preserve">Grow truncatable primes digit by digit from single-digit primes and filter by range</t>
        </is>
      </c>
      <c r="K346" s="2" t="inlineStr">
        <is>
          <t xml:space="preserve">Математика / Решето на Ератостен; Математика / Прости числа</t>
        </is>
      </c>
      <c r="L346" s="9" t="str">
        <f>HYPERLINK("https://arena.olimpiici.com/#/catalog/221/problem/100568","open problem")</f>
        <v>open problem</v>
      </c>
    </row>
    <row r="347">
      <c r="A347" s="2" t="inlineStr">
        <is>
          <t xml:space="preserve">decision</t>
        </is>
      </c>
      <c r="B347" s="2" t="inlineStr">
        <is>
          <t xml:space="preserve">NOI - National round</t>
        </is>
      </c>
      <c r="C347" s="8" t="inlineStr">
        <is>
          <t xml:space="preserve">D</t>
        </is>
      </c>
      <c r="D347" s="8">
        <v>2012</v>
      </c>
      <c r="E347" s="4">
        <v>2</v>
      </c>
      <c r="F347" s="2" t="inlineStr">
        <is>
          <t xml:space="preserve">Easy</t>
        </is>
      </c>
      <c r="G347" s="2" t="inlineStr">
        <is>
          <t xml:space="preserve">Brute force</t>
        </is>
      </c>
      <c r="H347" s="2" t="inlineStr">
        <is>
          <t xml:space="preserve">Greedy</t>
        </is>
      </c>
      <c r="I347" s="2" t="inlineStr">
        <is>
          <t xml:space="preserve">Loops, Math, Long long</t>
        </is>
      </c>
      <c r="J347" s="2" t="inlineStr">
        <is>
          <t xml:space="preserve">Try each number of buses, compute the taxis needed and keep the cheapest</t>
        </is>
      </c>
      <c r="K347" s="2" t="inlineStr">
        <is>
          <t xml:space="preserve"/>
        </is>
      </c>
      <c r="L347" s="9" t="str">
        <f>HYPERLINK("https://arena.olimpiici.com/#/catalog/226/problem/100587","open problem")</f>
        <v>open problem</v>
      </c>
    </row>
    <row r="348">
      <c r="A348" s="2" t="inlineStr">
        <is>
          <t xml:space="preserve">sum</t>
        </is>
      </c>
      <c r="B348" s="2" t="inlineStr">
        <is>
          <t xml:space="preserve">NOI - National round</t>
        </is>
      </c>
      <c r="C348" s="8" t="inlineStr">
        <is>
          <t xml:space="preserve">D</t>
        </is>
      </c>
      <c r="D348" s="8">
        <v>2012</v>
      </c>
      <c r="E348" s="4">
        <v>2</v>
      </c>
      <c r="F348" s="2" t="inlineStr">
        <is>
          <t xml:space="preserve">Easy</t>
        </is>
      </c>
      <c r="G348" s="2" t="inlineStr">
        <is>
          <t xml:space="preserve">Math / Formula</t>
        </is>
      </c>
      <c r="H348" s="2" t="inlineStr">
        <is>
          <t xml:space="preserve">Number theory</t>
        </is>
      </c>
      <c r="I348" s="2" t="inlineStr">
        <is>
          <t xml:space="preserve">Math, Long long</t>
        </is>
      </c>
      <c r="J348" s="2" t="inlineStr">
        <is>
          <t xml:space="preserve">Multiples of lcm(P,Q) in [A,B] form an arithmetic progression; sum it directly</t>
        </is>
      </c>
      <c r="K348" s="2" t="inlineStr">
        <is>
          <t xml:space="preserve">Математика / НОД - Алгоритъм на Евклид</t>
        </is>
      </c>
      <c r="L348" s="9" t="str">
        <f>HYPERLINK("https://arena.olimpiici.com/#/catalog/226/problem/100588","open problem")</f>
        <v>open problem</v>
      </c>
    </row>
    <row r="349">
      <c r="A349" s="2" t="inlineStr">
        <is>
          <t xml:space="preserve">crossword</t>
        </is>
      </c>
      <c r="B349" s="2" t="inlineStr">
        <is>
          <t xml:space="preserve">NOI - National round</t>
        </is>
      </c>
      <c r="C349" s="8" t="inlineStr">
        <is>
          <t xml:space="preserve">D</t>
        </is>
      </c>
      <c r="D349" s="8">
        <v>2012</v>
      </c>
      <c r="E349" s="5">
        <v>3</v>
      </c>
      <c r="F349" s="2" t="inlineStr">
        <is>
          <t xml:space="preserve">Medium</t>
        </is>
      </c>
      <c r="G349" s="2" t="inlineStr">
        <is>
          <t xml:space="preserve">Grid/Matrix</t>
        </is>
      </c>
      <c r="H349" s="2" t="inlineStr">
        <is>
          <t xml:space="preserve">Implementation / Simulation</t>
        </is>
      </c>
      <c r="I349" s="2" t="inlineStr">
        <is>
          <t xml:space="preserve">2D arrays, Grid/Matrix, Loops</t>
        </is>
      </c>
      <c r="J349" s="2" t="inlineStr">
        <is>
          <t xml:space="preserve">Scan the grid to number word starts, then measure horizontal and vertical runs</t>
        </is>
      </c>
      <c r="K349" s="2" t="inlineStr">
        <is>
          <t xml:space="preserve"/>
        </is>
      </c>
      <c r="L349" s="9" t="str">
        <f>HYPERLINK("https://arena.olimpiici.com/#/catalog/226/problem/100589","open problem")</f>
        <v>open problem</v>
      </c>
    </row>
    <row r="350">
      <c r="A350" s="2" t="inlineStr">
        <is>
          <t xml:space="preserve">gifts</t>
        </is>
      </c>
      <c r="B350" s="2" t="inlineStr">
        <is>
          <t xml:space="preserve">NOI - National round</t>
        </is>
      </c>
      <c r="C350" s="8" t="inlineStr">
        <is>
          <t xml:space="preserve">D</t>
        </is>
      </c>
      <c r="D350" s="8">
        <v>2012</v>
      </c>
      <c r="E350" s="6">
        <v>4</v>
      </c>
      <c r="F350" s="2" t="inlineStr">
        <is>
          <t xml:space="preserve">Hard</t>
        </is>
      </c>
      <c r="G350" s="2" t="inlineStr">
        <is>
          <t xml:space="preserve">Data structures</t>
        </is>
      </c>
      <c r="H350" s="2" t="inlineStr">
        <is>
          <t xml:space="preserve">Constructive</t>
        </is>
      </c>
      <c r="I350" s="2" t="inlineStr">
        <is>
          <t xml:space="preserve">Stacks, Arrays, Strings</t>
        </is>
      </c>
      <c r="J350" s="2" t="inlineStr">
        <is>
          <t xml:space="preserve">Chute 2 is a stack: simulate the stack-sorting operations for the target order</t>
        </is>
      </c>
      <c r="K350" s="2" t="inlineStr">
        <is>
          <t xml:space="preserve"/>
        </is>
      </c>
      <c r="L350" s="9" t="str">
        <f>HYPERLINK("https://arena.olimpiici.com/#/catalog/226/problem/100590","open problem")</f>
        <v>open problem</v>
      </c>
    </row>
    <row r="351">
      <c r="A351" s="2" t="inlineStr">
        <is>
          <t xml:space="preserve">goldbox</t>
        </is>
      </c>
      <c r="B351" s="2" t="inlineStr">
        <is>
          <t xml:space="preserve">NOI - National round</t>
        </is>
      </c>
      <c r="C351" s="8" t="inlineStr">
        <is>
          <t xml:space="preserve">D</t>
        </is>
      </c>
      <c r="D351" s="8">
        <v>2012</v>
      </c>
      <c r="E351" s="5">
        <v>3</v>
      </c>
      <c r="F351" s="2" t="inlineStr">
        <is>
          <t xml:space="preserve">Medium</t>
        </is>
      </c>
      <c r="G351" s="2" t="inlineStr">
        <is>
          <t xml:space="preserve">Grid/Matrix</t>
        </is>
      </c>
      <c r="H351" s="2" t="inlineStr">
        <is>
          <t xml:space="preserve">Counting / Frequency arrays</t>
        </is>
      </c>
      <c r="I351" s="2" t="inlineStr">
        <is>
          <t xml:space="preserve">2D arrays, Grid/Matrix, Long long</t>
        </is>
      </c>
      <c r="J351" s="2" t="inlineStr">
        <is>
          <t xml:space="preserve">Bounding box of each visible ingot id gives its area; sum and multiply by G</t>
        </is>
      </c>
      <c r="K351" s="2" t="inlineStr">
        <is>
          <t xml:space="preserve">Двумерни и многомерни масиви; Броене с масив (counting)</t>
        </is>
      </c>
      <c r="L351" s="9" t="str">
        <f>HYPERLINK("https://arena.olimpiici.com/#/catalog/226/problem/100591","open problem")</f>
        <v>open problem</v>
      </c>
    </row>
    <row r="352">
      <c r="A352" s="2" t="inlineStr">
        <is>
          <t xml:space="preserve">number</t>
        </is>
      </c>
      <c r="B352" s="2" t="inlineStr">
        <is>
          <t xml:space="preserve">NOI - National round</t>
        </is>
      </c>
      <c r="C352" s="8" t="inlineStr">
        <is>
          <t xml:space="preserve">D</t>
        </is>
      </c>
      <c r="D352" s="8">
        <v>2012</v>
      </c>
      <c r="E352" s="4">
        <v>2</v>
      </c>
      <c r="F352" s="2" t="inlineStr">
        <is>
          <t xml:space="preserve">Easy</t>
        </is>
      </c>
      <c r="G352" s="2" t="inlineStr">
        <is>
          <t xml:space="preserve">Number theory</t>
        </is>
      </c>
      <c r="H352" s="2" t="inlineStr">
        <is>
          <t xml:space="preserve">String processing</t>
        </is>
      </c>
      <c r="I352" s="2" t="inlineStr">
        <is>
          <t xml:space="preserve">Math, Strings, Loops</t>
        </is>
      </c>
      <c r="J352" s="2" t="inlineStr">
        <is>
          <t xml:space="preserve">Convert n to every base 2..36 and test whether the digit string is a palindrome</t>
        </is>
      </c>
      <c r="K352" s="2" t="inlineStr">
        <is>
          <t xml:space="preserve">Математика / Бройни системи; Палиндроми</t>
        </is>
      </c>
      <c r="L352" s="9" t="str">
        <f>HYPERLINK("https://arena.olimpiici.com/#/catalog/226/problem/100592","open problem")</f>
        <v>open problem</v>
      </c>
    </row>
    <row r="353">
      <c r="A353" s="2" t="inlineStr">
        <is>
          <t xml:space="preserve">dates</t>
        </is>
      </c>
      <c r="B353" s="2" t="inlineStr">
        <is>
          <t xml:space="preserve">NOI - National round</t>
        </is>
      </c>
      <c r="C353" s="8" t="inlineStr">
        <is>
          <t xml:space="preserve">D</t>
        </is>
      </c>
      <c r="D353" s="8">
        <v>2013</v>
      </c>
      <c r="E353" s="5">
        <v>3</v>
      </c>
      <c r="F353" s="2" t="inlineStr">
        <is>
          <t xml:space="preserve">Medium</t>
        </is>
      </c>
      <c r="G353" s="2" t="inlineStr">
        <is>
          <t xml:space="preserve">Brute force</t>
        </is>
      </c>
      <c r="H353" s="2" t="inlineStr">
        <is>
          <t xml:space="preserve">Implementation / Simulation</t>
        </is>
      </c>
      <c r="I353" s="2" t="inlineStr">
        <is>
          <t xml:space="preserve">Dates, Strings, Loops</t>
        </is>
      </c>
      <c r="J353" s="2" t="inlineStr">
        <is>
          <t xml:space="preserve">Try all six field orders for both dates and keep the pair with the right day gap</t>
        </is>
      </c>
      <c r="K353" s="2" t="inlineStr">
        <is>
          <t xml:space="preserve">Basic / Дати и време; Bruteforce</t>
        </is>
      </c>
      <c r="L353" s="9" t="str">
        <f>HYPERLINK("https://arena.olimpiici.com/#/catalog/231/problem/100611","open problem")</f>
        <v>open problem</v>
      </c>
    </row>
    <row r="354">
      <c r="A354" s="2" t="inlineStr">
        <is>
          <t xml:space="preserve">pres</t>
        </is>
      </c>
      <c r="B354" s="2" t="inlineStr">
        <is>
          <t xml:space="preserve">NOI - National round</t>
        </is>
      </c>
      <c r="C354" s="8" t="inlineStr">
        <is>
          <t xml:space="preserve">D</t>
        </is>
      </c>
      <c r="D354" s="8">
        <v>2013</v>
      </c>
      <c r="E354" s="5">
        <v>3</v>
      </c>
      <c r="F354" s="2" t="inlineStr">
        <is>
          <t xml:space="preserve">Medium</t>
        </is>
      </c>
      <c r="G354" s="2" t="inlineStr">
        <is>
          <t xml:space="preserve">Greedy</t>
        </is>
      </c>
      <c r="H354" s="2" t="inlineStr">
        <is>
          <t xml:space="preserve">Number theory</t>
        </is>
      </c>
      <c r="I354" s="2" t="inlineStr">
        <is>
          <t xml:space="preserve">Arrays, Long long, Loops</t>
        </is>
      </c>
      <c r="J354" s="2" t="inlineStr">
        <is>
          <t xml:space="preserve">Zeckendorf representation: repeatedly subtract the largest Fibonacci number that fits</t>
        </is>
      </c>
      <c r="K354" s="2" t="inlineStr">
        <is>
          <t xml:space="preserve"/>
        </is>
      </c>
      <c r="L354" s="9" t="str">
        <f>HYPERLINK("https://arena.olimpiici.com/#/catalog/231/problem/100612","open problem")</f>
        <v>open problem</v>
      </c>
    </row>
    <row r="355">
      <c r="A355" s="2" t="inlineStr">
        <is>
          <t xml:space="preserve">rabbits</t>
        </is>
      </c>
      <c r="B355" s="2" t="inlineStr">
        <is>
          <t xml:space="preserve">NOI - National round</t>
        </is>
      </c>
      <c r="C355" s="8" t="inlineStr">
        <is>
          <t xml:space="preserve">D</t>
        </is>
      </c>
      <c r="D355" s="8">
        <v>2013</v>
      </c>
      <c r="E355" s="4">
        <v>2</v>
      </c>
      <c r="F355" s="2" t="inlineStr">
        <is>
          <t xml:space="preserve">Easy</t>
        </is>
      </c>
      <c r="G355" s="2" t="inlineStr">
        <is>
          <t xml:space="preserve">Counting / Frequency arrays</t>
        </is>
      </c>
      <c r="H355" s="2" t="inlineStr">
        <is>
          <t xml:space="preserve">Ad hoc / Observation</t>
        </is>
      </c>
      <c r="I355" s="2" t="inlineStr">
        <is>
          <t xml:space="preserve">Arrays, Loops, Math</t>
        </is>
      </c>
      <c r="J355" s="2" t="inlineStr">
        <is>
          <t xml:space="preserve">Store each rabbit's cage and feeder position, take the largest |p-q|</t>
        </is>
      </c>
      <c r="K355" s="2" t="inlineStr">
        <is>
          <t xml:space="preserve">Броене с масив (counting)</t>
        </is>
      </c>
      <c r="L355" s="9" t="str">
        <f>HYPERLINK("https://arena.olimpiici.com/#/catalog/231/problem/100613","open problem")</f>
        <v>open problem</v>
      </c>
    </row>
    <row r="356">
      <c r="A356" s="2" t="inlineStr">
        <is>
          <t xml:space="preserve">primecnt</t>
        </is>
      </c>
      <c r="B356" s="2" t="inlineStr">
        <is>
          <t xml:space="preserve">NOI - National round</t>
        </is>
      </c>
      <c r="C356" s="8" t="inlineStr">
        <is>
          <t xml:space="preserve">D</t>
        </is>
      </c>
      <c r="D356" s="8">
        <v>2013</v>
      </c>
      <c r="E356" s="4">
        <v>2</v>
      </c>
      <c r="F356" s="2" t="inlineStr">
        <is>
          <t xml:space="preserve">Easy</t>
        </is>
      </c>
      <c r="G356" s="2" t="inlineStr">
        <is>
          <t xml:space="preserve">Number theory</t>
        </is>
      </c>
      <c r="H356" s="2" t="inlineStr">
        <is>
          <t xml:space="preserve">Prefix sums</t>
        </is>
      </c>
      <c r="I356" s="2" t="inlineStr">
        <is>
          <t xml:space="preserve">Arrays, Prefix sums, Loops</t>
        </is>
      </c>
      <c r="J356" s="2" t="inlineStr">
        <is>
          <t xml:space="preserve">Sieve to 10^6 once, prefix-count primes, answer each query in O(1)</t>
        </is>
      </c>
      <c r="K356" s="2" t="inlineStr">
        <is>
          <t xml:space="preserve">Математика / Прости числа; Математика / Решето на Ератостен; Префиксни суми (prefix array)</t>
        </is>
      </c>
      <c r="L356" s="9" t="str">
        <f>HYPERLINK("https://arena.olimpiici.com/#/catalog/231/problem/100614","open problem")</f>
        <v>open problem</v>
      </c>
    </row>
    <row r="357">
      <c r="A357" s="2" t="inlineStr">
        <is>
          <t xml:space="preserve">battle</t>
        </is>
      </c>
      <c r="B357" s="2" t="inlineStr">
        <is>
          <t xml:space="preserve">NOI - National round</t>
        </is>
      </c>
      <c r="C357" s="8" t="inlineStr">
        <is>
          <t xml:space="preserve">D</t>
        </is>
      </c>
      <c r="D357" s="8">
        <v>2013</v>
      </c>
      <c r="E357" s="5">
        <v>3</v>
      </c>
      <c r="F357" s="2" t="inlineStr">
        <is>
          <t xml:space="preserve">Medium</t>
        </is>
      </c>
      <c r="G357" s="2" t="inlineStr">
        <is>
          <t xml:space="preserve">Grid/Matrix</t>
        </is>
      </c>
      <c r="H357" s="2" t="inlineStr">
        <is>
          <t xml:space="preserve">Counting / Frequency arrays</t>
        </is>
      </c>
      <c r="I357" s="2" t="inlineStr">
        <is>
          <t xml:space="preserve">2D arrays, Grid/Matrix, Loops</t>
        </is>
      </c>
      <c r="J357" s="2" t="inlineStr">
        <is>
          <t xml:space="preserve">Count how many disjoint 1xK runs of free cells each row and column can hold</t>
        </is>
      </c>
      <c r="K357" s="2" t="inlineStr">
        <is>
          <t xml:space="preserve">Двумерни и многомерни масиви; Префиксни суми (prefix array)</t>
        </is>
      </c>
      <c r="L357" s="9" t="str">
        <f>HYPERLINK("https://arena.olimpiici.com/#/catalog/231/problem/100615","open problem")</f>
        <v>open problem</v>
      </c>
    </row>
    <row r="358">
      <c r="A358" s="2" t="inlineStr">
        <is>
          <t xml:space="preserve">nine</t>
        </is>
      </c>
      <c r="B358" s="2" t="inlineStr">
        <is>
          <t xml:space="preserve">NOI - National round</t>
        </is>
      </c>
      <c r="C358" s="8" t="inlineStr">
        <is>
          <t xml:space="preserve">D</t>
        </is>
      </c>
      <c r="D358" s="8">
        <v>2013</v>
      </c>
      <c r="E358" s="5">
        <v>3</v>
      </c>
      <c r="F358" s="2" t="inlineStr">
        <is>
          <t xml:space="preserve">Medium</t>
        </is>
      </c>
      <c r="G358" s="2" t="inlineStr">
        <is>
          <t xml:space="preserve">Math / Formula</t>
        </is>
      </c>
      <c r="H358" s="2" t="inlineStr">
        <is>
          <t xml:space="preserve">Brute force</t>
        </is>
      </c>
      <c r="I358" s="2" t="inlineStr">
        <is>
          <t xml:space="preserve">Long long, Math, Loops</t>
        </is>
      </c>
      <c r="J358" s="2" t="inlineStr">
        <is>
          <t xml:space="preserve">s(N)=s(9N) holds exactly for multiples of 9; count them in the window</t>
        </is>
      </c>
      <c r="K358" s="2" t="inlineStr">
        <is>
          <t xml:space="preserve">Математика</t>
        </is>
      </c>
      <c r="L358" s="9" t="str">
        <f>HYPERLINK("https://arena.olimpiici.com/#/catalog/231/problem/100616","open problem")</f>
        <v>open problem</v>
      </c>
    </row>
    <row r="359">
      <c r="A359" s="2" t="inlineStr">
        <is>
          <t xml:space="preserve">kolan</t>
        </is>
      </c>
      <c r="B359" s="2" t="inlineStr">
        <is>
          <t xml:space="preserve">NOI - National round</t>
        </is>
      </c>
      <c r="C359" s="8" t="inlineStr">
        <is>
          <t xml:space="preserve">D</t>
        </is>
      </c>
      <c r="D359" s="8">
        <v>2014</v>
      </c>
      <c r="E359" s="6">
        <v>4</v>
      </c>
      <c r="F359" s="2" t="inlineStr">
        <is>
          <t xml:space="preserve">Hard</t>
        </is>
      </c>
      <c r="G359" s="2" t="inlineStr">
        <is>
          <t xml:space="preserve">Greedy</t>
        </is>
      </c>
      <c r="H359" s="2" t="inlineStr">
        <is>
          <t xml:space="preserve">Dynamic programming</t>
        </is>
      </c>
      <c r="I359" s="2" t="inlineStr">
        <is>
          <t xml:space="preserve">Strings, Arrays, Loops</t>
        </is>
      </c>
      <c r="J359" s="2" t="inlineStr">
        <is>
          <t xml:space="preserve">Each kept square is one digit: stretch runs for the maximum, shrink them for the minimum</t>
        </is>
      </c>
      <c r="K359" s="2" t="inlineStr">
        <is>
          <t xml:space="preserve">Basic / Обхождане</t>
        </is>
      </c>
      <c r="L359" s="9" t="str">
        <f>HYPERLINK("https://arena.olimpiici.com/#/catalog/236/problem/100635","open problem")</f>
        <v>open problem</v>
      </c>
    </row>
    <row r="360">
      <c r="A360" s="2" t="inlineStr">
        <is>
          <t xml:space="preserve">supporters</t>
        </is>
      </c>
      <c r="B360" s="2" t="inlineStr">
        <is>
          <t xml:space="preserve">NOI - National round</t>
        </is>
      </c>
      <c r="C360" s="8" t="inlineStr">
        <is>
          <t xml:space="preserve">D</t>
        </is>
      </c>
      <c r="D360" s="8">
        <v>2014</v>
      </c>
      <c r="E360" s="6">
        <v>4</v>
      </c>
      <c r="F360" s="2" t="inlineStr">
        <is>
          <t xml:space="preserve">Hard</t>
        </is>
      </c>
      <c r="G360" s="2" t="inlineStr">
        <is>
          <t xml:space="preserve">Number theory</t>
        </is>
      </c>
      <c r="H360" s="2" t="inlineStr">
        <is>
          <t xml:space="preserve">Math / Formula</t>
        </is>
      </c>
      <c r="I360" s="2" t="inlineStr">
        <is>
          <t xml:space="preserve">Math, Loops, Long long</t>
        </is>
      </c>
      <c r="J360" s="2" t="inlineStr">
        <is>
          <t xml:space="preserve">d1 and d2 must divide L with coprime quotients; pick the pair with closest counts</t>
        </is>
      </c>
      <c r="K360" s="2" t="inlineStr">
        <is>
          <t xml:space="preserve">Математика / НОД - Алгоритъм на Евклид; Математика / Делимост</t>
        </is>
      </c>
      <c r="L360" s="9" t="str">
        <f>HYPERLINK("https://arena.olimpiici.com/#/catalog/236/problem/100636","open problem")</f>
        <v>open problem</v>
      </c>
    </row>
    <row r="361">
      <c r="A361" s="2" t="inlineStr">
        <is>
          <t xml:space="preserve">table</t>
        </is>
      </c>
      <c r="B361" s="2" t="inlineStr">
        <is>
          <t xml:space="preserve">NOI - National round</t>
        </is>
      </c>
      <c r="C361" s="8" t="inlineStr">
        <is>
          <t xml:space="preserve">D</t>
        </is>
      </c>
      <c r="D361" s="8">
        <v>2014</v>
      </c>
      <c r="E361" s="5">
        <v>3</v>
      </c>
      <c r="F361" s="2" t="inlineStr">
        <is>
          <t xml:space="preserve">Medium</t>
        </is>
      </c>
      <c r="G361" s="2" t="inlineStr">
        <is>
          <t xml:space="preserve">Grid/Matrix</t>
        </is>
      </c>
      <c r="H361" s="2" t="inlineStr">
        <is>
          <t xml:space="preserve">Ad hoc / Observation</t>
        </is>
      </c>
      <c r="I361" s="2" t="inlineStr">
        <is>
          <t xml:space="preserve">2D arrays, Grid/Matrix, Loops</t>
        </is>
      </c>
      <c r="J361" s="2" t="inlineStr">
        <is>
          <t xml:space="preserve">All paths equal iff every 2x2 block satisfies a[i][j]+a[i+1][j+1]=a[i][j+1]+a[i+1][j]</t>
        </is>
      </c>
      <c r="K361" s="2" t="inlineStr">
        <is>
          <t xml:space="preserve">Двумерни и многомерни масиви; Динамично програмиране (Dynamic programming)</t>
        </is>
      </c>
      <c r="L361" s="9" t="str">
        <f>HYPERLINK("https://arena.olimpiici.com/#/catalog/236/problem/100637","open problem")</f>
        <v>open problem</v>
      </c>
    </row>
    <row r="362">
      <c r="A362" s="2" t="inlineStr">
        <is>
          <t xml:space="preserve">letters</t>
        </is>
      </c>
      <c r="B362" s="2" t="inlineStr">
        <is>
          <t xml:space="preserve">NOI - National round</t>
        </is>
      </c>
      <c r="C362" s="8" t="inlineStr">
        <is>
          <t xml:space="preserve">D</t>
        </is>
      </c>
      <c r="D362" s="8">
        <v>2014</v>
      </c>
      <c r="E362" s="4">
        <v>2</v>
      </c>
      <c r="F362" s="2" t="inlineStr">
        <is>
          <t xml:space="preserve">Easy</t>
        </is>
      </c>
      <c r="G362" s="2" t="inlineStr">
        <is>
          <t xml:space="preserve">Counting / Frequency arrays</t>
        </is>
      </c>
      <c r="H362" s="2" t="inlineStr">
        <is>
          <t xml:space="preserve">Graph traversal (BFS/DFS)</t>
        </is>
      </c>
      <c r="I362" s="2" t="inlineStr">
        <is>
          <t xml:space="preserve">Sets, Counting array, Arrays</t>
        </is>
      </c>
      <c r="J362" s="2" t="inlineStr">
        <is>
          <t xml:space="preserve">Count users whose set of distinct correspondents has size at most one</t>
        </is>
      </c>
      <c r="K362" s="2" t="inlineStr">
        <is>
          <t xml:space="preserve">Броене с масив (counting)</t>
        </is>
      </c>
      <c r="L362" s="9" t="str">
        <f>HYPERLINK("https://arena.olimpiici.com/#/catalog/236/problem/100638","open problem")</f>
        <v>open problem</v>
      </c>
    </row>
    <row r="363">
      <c r="A363" s="2" t="inlineStr">
        <is>
          <t xml:space="preserve">svetofar</t>
        </is>
      </c>
      <c r="B363" s="2" t="inlineStr">
        <is>
          <t xml:space="preserve">NOI - National round</t>
        </is>
      </c>
      <c r="C363" s="8" t="inlineStr">
        <is>
          <t xml:space="preserve">D</t>
        </is>
      </c>
      <c r="D363" s="8">
        <v>2014</v>
      </c>
      <c r="E363" s="5">
        <v>3</v>
      </c>
      <c r="F363" s="2" t="inlineStr">
        <is>
          <t xml:space="preserve">Medium</t>
        </is>
      </c>
      <c r="G363" s="2" t="inlineStr">
        <is>
          <t xml:space="preserve">Bit manipulation</t>
        </is>
      </c>
      <c r="H363" s="2" t="inlineStr">
        <is>
          <t xml:space="preserve">Brute force</t>
        </is>
      </c>
      <c r="I363" s="2" t="inlineStr">
        <is>
          <t xml:space="preserve">Bitmask, Arrays, Loops</t>
        </is>
      </c>
      <c r="J363" s="2" t="inlineStr">
        <is>
          <t xml:space="preserve">Seven-segment masks: count the 00-99 values consistent with lit and burnt lamps</t>
        </is>
      </c>
      <c r="K363" s="2" t="inlineStr">
        <is>
          <t xml:space="preserve"/>
        </is>
      </c>
      <c r="L363" s="9" t="str">
        <f>HYPERLINK("https://arena.olimpiici.com/#/catalog/236/problem/100639","open problem")</f>
        <v>open problem</v>
      </c>
    </row>
    <row r="364">
      <c r="A364" s="2" t="inlineStr">
        <is>
          <t xml:space="preserve">stars</t>
        </is>
      </c>
      <c r="B364" s="2" t="inlineStr">
        <is>
          <t xml:space="preserve">NOI - National round</t>
        </is>
      </c>
      <c r="C364" s="8" t="inlineStr">
        <is>
          <t xml:space="preserve">D</t>
        </is>
      </c>
      <c r="D364" s="8">
        <v>2014</v>
      </c>
      <c r="E364" s="5">
        <v>3</v>
      </c>
      <c r="F364" s="2" t="inlineStr">
        <is>
          <t xml:space="preserve">Medium</t>
        </is>
      </c>
      <c r="G364" s="2" t="inlineStr">
        <is>
          <t xml:space="preserve">Prefix sums</t>
        </is>
      </c>
      <c r="H364" s="2" t="inlineStr">
        <is>
          <t xml:space="preserve">Implementation / Simulation</t>
        </is>
      </c>
      <c r="I364" s="2" t="inlineStr">
        <is>
          <t xml:space="preserve">Prefix sums, Arrays, Long long</t>
        </is>
      </c>
      <c r="J364" s="2" t="inlineStr">
        <is>
          <t xml:space="preserve">Prefix sums of star coordinates give the centre of the last m stars per query</t>
        </is>
      </c>
      <c r="K364" s="2" t="inlineStr">
        <is>
          <t xml:space="preserve"/>
        </is>
      </c>
      <c r="L364" s="9" t="str">
        <f>HYPERLINK("https://arena.olimpiici.com/#/catalog/236/problem/100640","open problem")</f>
        <v>open problem</v>
      </c>
    </row>
    <row r="365">
      <c r="A365" s="2" t="inlineStr">
        <is>
          <t xml:space="preserve">blackd</t>
        </is>
      </c>
      <c r="B365" s="2" t="inlineStr">
        <is>
          <t xml:space="preserve">NOI - National round</t>
        </is>
      </c>
      <c r="C365" s="8" t="inlineStr">
        <is>
          <t xml:space="preserve">D</t>
        </is>
      </c>
      <c r="D365" s="8">
        <v>2015</v>
      </c>
      <c r="E365" s="4">
        <v>2</v>
      </c>
      <c r="F365" s="2" t="inlineStr">
        <is>
          <t xml:space="preserve">Easy</t>
        </is>
      </c>
      <c r="G365" s="2" t="inlineStr">
        <is>
          <t xml:space="preserve">Implementation / Simulation</t>
        </is>
      </c>
      <c r="H365" s="2" t="inlineStr">
        <is>
          <t xml:space="preserve">Data structures</t>
        </is>
      </c>
      <c r="I365" s="2" t="inlineStr">
        <is>
          <t xml:space="preserve">Arrays, Vectors, Loops</t>
        </is>
      </c>
      <c r="J365" s="2" t="inlineStr">
        <is>
          <t xml:space="preserve">Simulate each four-way cut of the deck and report the top card</t>
        </is>
      </c>
      <c r="K365" s="2" t="inlineStr">
        <is>
          <t xml:space="preserve">Моделиране</t>
        </is>
      </c>
      <c r="L365" s="9" t="str">
        <f>HYPERLINK("https://arena.olimpiici.com/#/catalog/241/problem/100659","open problem")</f>
        <v>open problem</v>
      </c>
    </row>
    <row r="366">
      <c r="A366" s="2" t="inlineStr">
        <is>
          <t xml:space="preserve">table</t>
        </is>
      </c>
      <c r="B366" s="2" t="inlineStr">
        <is>
          <t xml:space="preserve">NOI - National round</t>
        </is>
      </c>
      <c r="C366" s="8" t="inlineStr">
        <is>
          <t xml:space="preserve">D</t>
        </is>
      </c>
      <c r="D366" s="8">
        <v>2015</v>
      </c>
      <c r="E366" s="4">
        <v>2</v>
      </c>
      <c r="F366" s="2" t="inlineStr">
        <is>
          <t xml:space="preserve">Easy</t>
        </is>
      </c>
      <c r="G366" s="2" t="inlineStr">
        <is>
          <t xml:space="preserve">Dynamic programming</t>
        </is>
      </c>
      <c r="H366" s="2" t="inlineStr">
        <is>
          <t xml:space="preserve">Grid/Matrix</t>
        </is>
      </c>
      <c r="I366" s="2" t="inlineStr">
        <is>
          <t xml:space="preserve">2D arrays, Grid/Matrix, Arrays</t>
        </is>
      </c>
      <c r="J366" s="2" t="inlineStr">
        <is>
          <t xml:space="preserve">Column-by-column DP taking the best of three neighbouring cells</t>
        </is>
      </c>
      <c r="K366" s="2" t="inlineStr">
        <is>
          <t xml:space="preserve">Двумерни и многомерни масиви; Динамично програмиране (Dynamic programming)</t>
        </is>
      </c>
      <c r="L366" s="9" t="str">
        <f>HYPERLINK("https://arena.olimpiici.com/#/catalog/241/problem/100660","open problem")</f>
        <v>open problem</v>
      </c>
    </row>
    <row r="367">
      <c r="A367" s="2" t="inlineStr">
        <is>
          <t xml:space="preserve">cubes</t>
        </is>
      </c>
      <c r="B367" s="2" t="inlineStr">
        <is>
          <t xml:space="preserve">NOI - National round</t>
        </is>
      </c>
      <c r="C367" s="8" t="inlineStr">
        <is>
          <t xml:space="preserve">D</t>
        </is>
      </c>
      <c r="D367" s="8">
        <v>2015</v>
      </c>
      <c r="E367" s="4">
        <v>2</v>
      </c>
      <c r="F367" s="2" t="inlineStr">
        <is>
          <t xml:space="preserve">Easy</t>
        </is>
      </c>
      <c r="G367" s="2" t="inlineStr">
        <is>
          <t xml:space="preserve">Math / Formula</t>
        </is>
      </c>
      <c r="H367" s="2" t="inlineStr">
        <is>
          <t xml:space="preserve">Binary search</t>
        </is>
      </c>
      <c r="I367" s="2" t="inlineStr">
        <is>
          <t xml:space="preserve">Long long, Math, Loops</t>
        </is>
      </c>
      <c r="J367" s="2" t="inlineStr">
        <is>
          <t xml:space="preserve">Repeatedly subtract the largest cube not exceeding the remaining count</t>
        </is>
      </c>
      <c r="K367" s="2" t="inlineStr">
        <is>
          <t xml:space="preserve">Математика / Степенуване; Двоично търсене по отговора (binary search); Предварителна обработка (precomputing)</t>
        </is>
      </c>
      <c r="L367" s="9" t="str">
        <f>HYPERLINK("https://arena.olimpiici.com/#/catalog/241/problem/100661","open problem")</f>
        <v>open problem</v>
      </c>
    </row>
    <row r="368">
      <c r="A368" s="2" t="inlineStr">
        <is>
          <t xml:space="preserve">multiplier</t>
        </is>
      </c>
      <c r="B368" s="2" t="inlineStr">
        <is>
          <t xml:space="preserve">NOI - National round</t>
        </is>
      </c>
      <c r="C368" s="8" t="inlineStr">
        <is>
          <t xml:space="preserve">D</t>
        </is>
      </c>
      <c r="D368" s="8">
        <v>2015</v>
      </c>
      <c r="E368" s="6">
        <v>4</v>
      </c>
      <c r="F368" s="2" t="inlineStr">
        <is>
          <t xml:space="preserve">Hard</t>
        </is>
      </c>
      <c r="G368" s="2" t="inlineStr">
        <is>
          <t xml:space="preserve">Number theory</t>
        </is>
      </c>
      <c r="H368" s="2" t="inlineStr">
        <is>
          <t xml:space="preserve">Prefix sums</t>
        </is>
      </c>
      <c r="I368" s="2" t="inlineStr">
        <is>
          <t xml:space="preserve">Arrays, Long long, Math</t>
        </is>
      </c>
      <c r="J368" s="2" t="inlineStr">
        <is>
          <t xml:space="preserve">Prefix products of N! mod M: test which single factor removed leaves remainder R</t>
        </is>
      </c>
      <c r="K368" s="2" t="inlineStr">
        <is>
          <t xml:space="preserve">Префиксни суми (prefix array)</t>
        </is>
      </c>
      <c r="L368" s="9" t="str">
        <f>HYPERLINK("https://arena.olimpiici.com/#/catalog/241/problem/100662","open problem")</f>
        <v>open problem</v>
      </c>
    </row>
    <row r="369">
      <c r="A369" s="2" t="inlineStr">
        <is>
          <t xml:space="preserve">parade</t>
        </is>
      </c>
      <c r="B369" s="2" t="inlineStr">
        <is>
          <t xml:space="preserve">NOI - National round</t>
        </is>
      </c>
      <c r="C369" s="8" t="inlineStr">
        <is>
          <t xml:space="preserve">D</t>
        </is>
      </c>
      <c r="D369" s="8">
        <v>2015</v>
      </c>
      <c r="E369" s="5">
        <v>3</v>
      </c>
      <c r="F369" s="2" t="inlineStr">
        <is>
          <t xml:space="preserve">Medium</t>
        </is>
      </c>
      <c r="G369" s="2" t="inlineStr">
        <is>
          <t xml:space="preserve">Recursion / Backtracking</t>
        </is>
      </c>
      <c r="H369" s="2" t="inlineStr">
        <is>
          <t xml:space="preserve">Math / Formula</t>
        </is>
      </c>
      <c r="I369" s="2" t="inlineStr">
        <is>
          <t xml:space="preserve">Recursion, Long long, Math</t>
        </is>
      </c>
      <c r="J369" s="2" t="inlineStr">
        <is>
          <t xml:space="preserve">The parade doubles in length each step: recurse on position p by symmetry</t>
        </is>
      </c>
      <c r="K369" s="2" t="inlineStr">
        <is>
          <t xml:space="preserve">Рекурсия (recursion)</t>
        </is>
      </c>
      <c r="L369" s="9" t="str">
        <f>HYPERLINK("https://arena.olimpiici.com/#/catalog/241/problem/100663","open problem")</f>
        <v>open problem</v>
      </c>
    </row>
    <row r="370">
      <c r="A370" s="2" t="inlineStr">
        <is>
          <t xml:space="preserve">aquarium</t>
        </is>
      </c>
      <c r="B370" s="2" t="inlineStr">
        <is>
          <t xml:space="preserve">NOI - National round</t>
        </is>
      </c>
      <c r="C370" s="8" t="inlineStr">
        <is>
          <t xml:space="preserve">D</t>
        </is>
      </c>
      <c r="D370" s="8">
        <v>2015</v>
      </c>
      <c r="E370" s="5">
        <v>3</v>
      </c>
      <c r="F370" s="2" t="inlineStr">
        <is>
          <t xml:space="preserve">Medium</t>
        </is>
      </c>
      <c r="G370" s="2" t="inlineStr">
        <is>
          <t xml:space="preserve">Math / Formula</t>
        </is>
      </c>
      <c r="H370" s="2" t="inlineStr">
        <is>
          <t xml:space="preserve">Implementation / Simulation</t>
        </is>
      </c>
      <c r="I370" s="2" t="inlineStr">
        <is>
          <t xml:space="preserve">Math, Loops, Arrays</t>
        </is>
      </c>
      <c r="J370" s="2" t="inlineStr">
        <is>
          <t xml:space="preserve">Case analysis of the filling phases before and after water spills over the divider</t>
        </is>
      </c>
      <c r="K370" s="2" t="inlineStr">
        <is>
          <t xml:space="preserve">Математика; Ad hoc</t>
        </is>
      </c>
      <c r="L370" s="9" t="str">
        <f>HYPERLINK("https://arena.olimpiici.com/#/catalog/241/problem/100664","open problem")</f>
        <v>open problem</v>
      </c>
    </row>
    <row r="371">
      <c r="A371" s="2" t="inlineStr">
        <is>
          <t xml:space="preserve">nbinpal</t>
        </is>
      </c>
      <c r="B371" s="2" t="inlineStr">
        <is>
          <t xml:space="preserve">NOI - National round</t>
        </is>
      </c>
      <c r="C371" s="8" t="inlineStr">
        <is>
          <t xml:space="preserve">D</t>
        </is>
      </c>
      <c r="D371" s="8">
        <v>2016</v>
      </c>
      <c r="E371" s="5">
        <v>3</v>
      </c>
      <c r="F371" s="2" t="inlineStr">
        <is>
          <t xml:space="preserve">Medium</t>
        </is>
      </c>
      <c r="G371" s="2" t="inlineStr">
        <is>
          <t xml:space="preserve">Combinatorics</t>
        </is>
      </c>
      <c r="H371" s="2" t="inlineStr">
        <is>
          <t xml:space="preserve">Big numbers</t>
        </is>
      </c>
      <c r="I371" s="2" t="inlineStr">
        <is>
          <t xml:space="preserve">Big integers, Math, Arrays</t>
        </is>
      </c>
      <c r="J371" s="2" t="inlineStr">
        <is>
          <t xml:space="preserve">n-digit binary palindromes number 2^(ceil(n/2)-1); needs big integers for n up to 100</t>
        </is>
      </c>
      <c r="K371" s="2" t="inlineStr">
        <is>
          <t xml:space="preserve">Математика; Динамично програмиране (Dynamic programming)</t>
        </is>
      </c>
      <c r="L371" s="9" t="str">
        <f>HYPERLINK("https://arena.olimpiici.com/#/catalog/246/problem/100683","open problem")</f>
        <v>open problem</v>
      </c>
    </row>
    <row r="372">
      <c r="A372" s="2" t="inlineStr">
        <is>
          <t xml:space="preserve">peal</t>
        </is>
      </c>
      <c r="B372" s="2" t="inlineStr">
        <is>
          <t xml:space="preserve">NOI - National round</t>
        </is>
      </c>
      <c r="C372" s="8" t="inlineStr">
        <is>
          <t xml:space="preserve">D</t>
        </is>
      </c>
      <c r="D372" s="8">
        <v>2016</v>
      </c>
      <c r="E372" s="5">
        <v>3</v>
      </c>
      <c r="F372" s="2" t="inlineStr">
        <is>
          <t xml:space="preserve">Medium</t>
        </is>
      </c>
      <c r="G372" s="2" t="inlineStr">
        <is>
          <t xml:space="preserve">Implementation / Simulation</t>
        </is>
      </c>
      <c r="H372" s="2" t="inlineStr">
        <is>
          <t xml:space="preserve">Brute force</t>
        </is>
      </c>
      <c r="I372" s="2" t="inlineStr">
        <is>
          <t xml:space="preserve">Arrays, Loops, Dates</t>
        </is>
      </c>
      <c r="J372" s="2" t="inlineStr">
        <is>
          <t xml:space="preserve">Walk the chiming schedule hour by half-hour until k rings and m strokes match</t>
        </is>
      </c>
      <c r="K372" s="2" t="inlineStr">
        <is>
          <t xml:space="preserve">Моделиране</t>
        </is>
      </c>
      <c r="L372" s="9" t="str">
        <f>HYPERLINK("https://arena.olimpiici.com/#/catalog/246/problem/100684","open problem")</f>
        <v>open problem</v>
      </c>
    </row>
    <row r="373">
      <c r="A373" s="2" t="inlineStr">
        <is>
          <t xml:space="preserve">red</t>
        </is>
      </c>
      <c r="B373" s="2" t="inlineStr">
        <is>
          <t xml:space="preserve">NOI - National round</t>
        </is>
      </c>
      <c r="C373" s="8" t="inlineStr">
        <is>
          <t xml:space="preserve">D</t>
        </is>
      </c>
      <c r="D373" s="8">
        <v>2016</v>
      </c>
      <c r="E373" s="5">
        <v>3</v>
      </c>
      <c r="F373" s="2" t="inlineStr">
        <is>
          <t xml:space="preserve">Medium</t>
        </is>
      </c>
      <c r="G373" s="2" t="inlineStr">
        <is>
          <t xml:space="preserve">Prefix sums</t>
        </is>
      </c>
      <c r="H373" s="2" t="inlineStr">
        <is>
          <t xml:space="preserve">Ad hoc / Observation</t>
        </is>
      </c>
      <c r="I373" s="2" t="inlineStr">
        <is>
          <t xml:space="preserve">Arrays, Loops, Long long</t>
        </is>
      </c>
      <c r="J373" s="2" t="inlineStr">
        <is>
          <t xml:space="preserve">Each query sums the operations covering it, with sign from the index parity</t>
        </is>
      </c>
      <c r="K373" s="2" t="inlineStr">
        <is>
          <t xml:space="preserve"/>
        </is>
      </c>
      <c r="L373" s="9" t="str">
        <f>HYPERLINK("https://arena.olimpiici.com/#/catalog/246/problem/100685","open problem")</f>
        <v>open problem</v>
      </c>
    </row>
    <row r="374">
      <c r="A374" s="2" t="inlineStr">
        <is>
          <t xml:space="preserve">scales</t>
        </is>
      </c>
      <c r="B374" s="2" t="inlineStr">
        <is>
          <t xml:space="preserve">NOI - National round</t>
        </is>
      </c>
      <c r="C374" s="8" t="inlineStr">
        <is>
          <t xml:space="preserve">D</t>
        </is>
      </c>
      <c r="D374" s="8">
        <v>2016</v>
      </c>
      <c r="E374" s="5">
        <v>3</v>
      </c>
      <c r="F374" s="2" t="inlineStr">
        <is>
          <t xml:space="preserve">Medium</t>
        </is>
      </c>
      <c r="G374" s="2" t="inlineStr">
        <is>
          <t xml:space="preserve">Counting / Frequency arrays</t>
        </is>
      </c>
      <c r="H374" s="2" t="inlineStr">
        <is>
          <t xml:space="preserve">Hashing / Maps</t>
        </is>
      </c>
      <c r="I374" s="2" t="inlineStr">
        <is>
          <t xml:space="preserve">Counting array, Maps, Nested loops</t>
        </is>
      </c>
      <c r="J374" s="2" t="inlineStr">
        <is>
          <t xml:space="preserve">Count pairs summing to each weight value, then multiply by its multiplicity</t>
        </is>
      </c>
      <c r="K374" s="2" t="inlineStr">
        <is>
          <t xml:space="preserve">Броене с масив (counting)</t>
        </is>
      </c>
      <c r="L374" s="9" t="str">
        <f>HYPERLINK("https://arena.olimpiici.com/#/catalog/246/problem/100686","open problem")</f>
        <v>open problem</v>
      </c>
    </row>
    <row r="375">
      <c r="A375" s="2" t="inlineStr">
        <is>
          <t xml:space="preserve">slalom</t>
        </is>
      </c>
      <c r="B375" s="2" t="inlineStr">
        <is>
          <t xml:space="preserve">NOI - National round</t>
        </is>
      </c>
      <c r="C375" s="8" t="inlineStr">
        <is>
          <t xml:space="preserve">D</t>
        </is>
      </c>
      <c r="D375" s="8">
        <v>2016</v>
      </c>
      <c r="E375" s="5">
        <v>3</v>
      </c>
      <c r="F375" s="2" t="inlineStr">
        <is>
          <t xml:space="preserve">Medium</t>
        </is>
      </c>
      <c r="G375" s="2" t="inlineStr">
        <is>
          <t xml:space="preserve">Dynamic programming</t>
        </is>
      </c>
      <c r="H375" s="2" t="inlineStr">
        <is>
          <t xml:space="preserve">Geometry</t>
        </is>
      </c>
      <c r="I375" s="2" t="inlineStr">
        <is>
          <t xml:space="preserve">Arrays, Math, Structs</t>
        </is>
      </c>
      <c r="J375" s="2" t="inlineStr">
        <is>
          <t xml:space="preserve">DP over gates: either pass a gate or skip it and pay its penalty</t>
        </is>
      </c>
      <c r="K375" s="2" t="inlineStr">
        <is>
          <t xml:space="preserve">Динамично програмиране (Dynamic programming)</t>
        </is>
      </c>
      <c r="L375" s="9" t="str">
        <f>HYPERLINK("https://arena.olimpiici.com/#/catalog/246/problem/100687","open problem")</f>
        <v>open problem</v>
      </c>
    </row>
    <row r="376">
      <c r="A376" s="2" t="inlineStr">
        <is>
          <t xml:space="preserve">traf</t>
        </is>
      </c>
      <c r="B376" s="2" t="inlineStr">
        <is>
          <t xml:space="preserve">NOI - National round</t>
        </is>
      </c>
      <c r="C376" s="8" t="inlineStr">
        <is>
          <t xml:space="preserve">D</t>
        </is>
      </c>
      <c r="D376" s="8">
        <v>2016</v>
      </c>
      <c r="E376" s="5">
        <v>3</v>
      </c>
      <c r="F376" s="2" t="inlineStr">
        <is>
          <t xml:space="preserve">Medium</t>
        </is>
      </c>
      <c r="G376" s="2" t="inlineStr">
        <is>
          <t xml:space="preserve">Grid/Matrix</t>
        </is>
      </c>
      <c r="H376" s="2" t="inlineStr">
        <is>
          <t xml:space="preserve">Implementation / Simulation</t>
        </is>
      </c>
      <c r="I376" s="2" t="inlineStr">
        <is>
          <t xml:space="preserve">2D arrays, Grid/Matrix, Strings</t>
        </is>
      </c>
      <c r="J376" s="2" t="inlineStr">
        <is>
          <t xml:space="preserve">Read the holes, rotate the grille four times and concatenate the revealed letters</t>
        </is>
      </c>
      <c r="K376" s="2" t="inlineStr">
        <is>
          <t xml:space="preserve">Двумерни и многомерни масиви</t>
        </is>
      </c>
      <c r="L376" s="9" t="str">
        <f>HYPERLINK("https://arena.olimpiici.com/#/catalog/246/problem/100688","open problem")</f>
        <v>open problem</v>
      </c>
    </row>
    <row r="377">
      <c r="A377" s="2" t="inlineStr">
        <is>
          <t xml:space="preserve">trimino</t>
        </is>
      </c>
      <c r="B377" s="2" t="inlineStr">
        <is>
          <t xml:space="preserve">NOI - National round</t>
        </is>
      </c>
      <c r="C377" s="8" t="inlineStr">
        <is>
          <t xml:space="preserve">D</t>
        </is>
      </c>
      <c r="D377" s="8">
        <v>2018</v>
      </c>
      <c r="E377" s="5">
        <v>3</v>
      </c>
      <c r="F377" s="2" t="inlineStr">
        <is>
          <t xml:space="preserve">Medium</t>
        </is>
      </c>
      <c r="G377" s="2" t="inlineStr">
        <is>
          <t xml:space="preserve">Grid/Matrix</t>
        </is>
      </c>
      <c r="H377" s="2" t="inlineStr">
        <is>
          <t xml:space="preserve">Counting / Frequency arrays</t>
        </is>
      </c>
      <c r="I377" s="2" t="inlineStr">
        <is>
          <t xml:space="preserve">2D arrays, Grid/Matrix, Counting array</t>
        </is>
      </c>
      <c r="J377" s="2" t="inlineStr">
        <is>
          <t xml:space="preserve">Check each id covers exactly three connected cells forming a valid trimino shape</t>
        </is>
      </c>
      <c r="K377" s="2" t="inlineStr">
        <is>
          <t xml:space="preserve">Двумерни и многомерни масиви; Броене с масив (counting)</t>
        </is>
      </c>
      <c r="L377" s="9" t="str">
        <f>HYPERLINK("https://arena.olimpiici.com/#/catalog/255/problem/100725","open problem")</f>
        <v>open problem</v>
      </c>
    </row>
    <row r="378">
      <c r="A378" s="2" t="inlineStr">
        <is>
          <t xml:space="preserve">major</t>
        </is>
      </c>
      <c r="B378" s="2" t="inlineStr">
        <is>
          <t xml:space="preserve">NOI - National round</t>
        </is>
      </c>
      <c r="C378" s="8" t="inlineStr">
        <is>
          <t xml:space="preserve">D</t>
        </is>
      </c>
      <c r="D378" s="8">
        <v>2018</v>
      </c>
      <c r="E378" s="5">
        <v>3</v>
      </c>
      <c r="F378" s="2" t="inlineStr">
        <is>
          <t xml:space="preserve">Medium</t>
        </is>
      </c>
      <c r="G378" s="2" t="inlineStr">
        <is>
          <t xml:space="preserve">Ad hoc / Observation</t>
        </is>
      </c>
      <c r="H378" s="2" t="inlineStr">
        <is>
          <t xml:space="preserve">Counting / Frequency arrays</t>
        </is>
      </c>
      <c r="I378" s="2" t="inlineStr">
        <is>
          <t xml:space="preserve">Loops, Memory optimization, I/O parsing</t>
        </is>
      </c>
      <c r="J378" s="2" t="inlineStr">
        <is>
          <t xml:space="preserve">Boyer-Moore majority vote within a 2 MB limit</t>
        </is>
      </c>
      <c r="K378" s="2" t="inlineStr">
        <is>
          <t xml:space="preserve">Ad hoc; Ограничена памет / Limited memory</t>
        </is>
      </c>
      <c r="L378" s="9" t="str">
        <f>HYPERLINK("https://arena.olimpiici.com/#/catalog/255/problem/100726","open problem")</f>
        <v>open problem</v>
      </c>
    </row>
    <row r="379">
      <c r="A379" s="2" t="inlineStr">
        <is>
          <t xml:space="preserve">puzzle</t>
        </is>
      </c>
      <c r="B379" s="2" t="inlineStr">
        <is>
          <t xml:space="preserve">NOI - National round</t>
        </is>
      </c>
      <c r="C379" s="8" t="inlineStr">
        <is>
          <t xml:space="preserve">D</t>
        </is>
      </c>
      <c r="D379" s="8">
        <v>2018</v>
      </c>
      <c r="E379" s="6">
        <v>4</v>
      </c>
      <c r="F379" s="2" t="inlineStr">
        <is>
          <t xml:space="preserve">Hard</t>
        </is>
      </c>
      <c r="G379" s="2" t="inlineStr">
        <is>
          <t xml:space="preserve">String processing</t>
        </is>
      </c>
      <c r="H379" s="2" t="inlineStr">
        <is>
          <t xml:space="preserve">Brute force</t>
        </is>
      </c>
      <c r="I379" s="2" t="inlineStr">
        <is>
          <t xml:space="preserve">Arrays, 2D arrays, Loops</t>
        </is>
      </c>
      <c r="J379" s="2" t="inlineStr">
        <is>
          <t xml:space="preserve">Find a rotation offset per sequence making them all equal, minimising the total shifts</t>
        </is>
      </c>
      <c r="K379" s="2" t="inlineStr">
        <is>
          <t xml:space="preserve">Броене с масив (counting)</t>
        </is>
      </c>
      <c r="L379" s="9" t="str">
        <f>HYPERLINK("https://arena.olimpiici.com/#/catalog/255/problem/100727","open problem")</f>
        <v>open problem</v>
      </c>
    </row>
    <row r="380">
      <c r="A380" s="2" t="inlineStr">
        <is>
          <t xml:space="preserve">fib</t>
        </is>
      </c>
      <c r="B380" s="2" t="inlineStr">
        <is>
          <t xml:space="preserve">NOI - National round</t>
        </is>
      </c>
      <c r="C380" s="8" t="inlineStr">
        <is>
          <t xml:space="preserve">D</t>
        </is>
      </c>
      <c r="D380" s="8">
        <v>2018</v>
      </c>
      <c r="E380" s="5">
        <v>3</v>
      </c>
      <c r="F380" s="2" t="inlineStr">
        <is>
          <t xml:space="preserve">Medium</t>
        </is>
      </c>
      <c r="G380" s="2" t="inlineStr">
        <is>
          <t xml:space="preserve">Number theory</t>
        </is>
      </c>
      <c r="H380" s="2" t="inlineStr">
        <is>
          <t xml:space="preserve">Math / Formula</t>
        </is>
      </c>
      <c r="I380" s="2" t="inlineStr">
        <is>
          <t xml:space="preserve">Math, Long long, Loops</t>
        </is>
      </c>
      <c r="J380" s="2" t="inlineStr">
        <is>
          <t xml:space="preserve">Fibonacci mod m repeats with the Pisano period; reduce n before iterating</t>
        </is>
      </c>
      <c r="K380" s="2" t="inlineStr">
        <is>
          <t xml:space="preserve"/>
        </is>
      </c>
      <c r="L380" s="9" t="str">
        <f>HYPERLINK("https://arena.olimpiici.com/#/catalog/255/problem/100728","open problem")</f>
        <v>open problem</v>
      </c>
    </row>
    <row r="381">
      <c r="A381" s="2" t="inlineStr">
        <is>
          <t xml:space="preserve">maxseq</t>
        </is>
      </c>
      <c r="B381" s="2" t="inlineStr">
        <is>
          <t xml:space="preserve">NOI - National round</t>
        </is>
      </c>
      <c r="C381" s="8" t="inlineStr">
        <is>
          <t xml:space="preserve">D</t>
        </is>
      </c>
      <c r="D381" s="8">
        <v>2018</v>
      </c>
      <c r="E381" s="5">
        <v>3</v>
      </c>
      <c r="F381" s="2" t="inlineStr">
        <is>
          <t xml:space="preserve">Medium</t>
        </is>
      </c>
      <c r="G381" s="2" t="inlineStr">
        <is>
          <t xml:space="preserve">Dynamic programming</t>
        </is>
      </c>
      <c r="H381" s="2" t="inlineStr">
        <is>
          <t xml:space="preserve">Greedy</t>
        </is>
      </c>
      <c r="I381" s="2" t="inlineStr">
        <is>
          <t xml:space="preserve">Arrays, Loops, Counting array</t>
        </is>
      </c>
      <c r="J381" s="2" t="inlineStr">
        <is>
          <t xml:space="preserve">Unbounded coin change maximising the number of summands</t>
        </is>
      </c>
      <c r="K381" s="2" t="inlineStr">
        <is>
          <t xml:space="preserve">Рекурсия (recursion); Динамично програмиране (Dynamic programming)</t>
        </is>
      </c>
      <c r="L381" s="9" t="str">
        <f>HYPERLINK("https://arena.olimpiici.com/#/catalog/255/problem/100729","open problem")</f>
        <v>open problem</v>
      </c>
    </row>
    <row r="382">
      <c r="A382" s="2" t="inlineStr">
        <is>
          <t xml:space="preserve">visitors</t>
        </is>
      </c>
      <c r="B382" s="2" t="inlineStr">
        <is>
          <t xml:space="preserve">NOI - National round</t>
        </is>
      </c>
      <c r="C382" s="8" t="inlineStr">
        <is>
          <t xml:space="preserve">D</t>
        </is>
      </c>
      <c r="D382" s="8">
        <v>2018</v>
      </c>
      <c r="E382" s="4">
        <v>2</v>
      </c>
      <c r="F382" s="2" t="inlineStr">
        <is>
          <t xml:space="preserve">Easy</t>
        </is>
      </c>
      <c r="G382" s="2" t="inlineStr">
        <is>
          <t xml:space="preserve">Sorting</t>
        </is>
      </c>
      <c r="H382" s="2" t="inlineStr">
        <is>
          <t xml:space="preserve">Prefix sums</t>
        </is>
      </c>
      <c r="I382" s="2" t="inlineStr">
        <is>
          <t xml:space="preserve">Sorting, Counting array, Arrays</t>
        </is>
      </c>
      <c r="J382" s="2" t="inlineStr">
        <is>
          <t xml:space="preserve">Sweep entry/exit events by second and track the running maximum</t>
        </is>
      </c>
      <c r="K382" s="2" t="inlineStr">
        <is>
          <t xml:space="preserve">Броене с масив (counting)</t>
        </is>
      </c>
      <c r="L382" s="9" t="str">
        <f>HYPERLINK("https://arena.olimpiici.com/#/catalog/255/problem/100730","open problem")</f>
        <v>open problem</v>
      </c>
    </row>
    <row r="383">
      <c r="A383" s="2" t="inlineStr">
        <is>
          <t xml:space="preserve">eratosthen</t>
        </is>
      </c>
      <c r="B383" s="2" t="inlineStr">
        <is>
          <t xml:space="preserve">NOI - National round</t>
        </is>
      </c>
      <c r="C383" s="8" t="inlineStr">
        <is>
          <t xml:space="preserve">D</t>
        </is>
      </c>
      <c r="D383" s="8">
        <v>2019</v>
      </c>
      <c r="E383" s="6">
        <v>4</v>
      </c>
      <c r="F383" s="2" t="inlineStr">
        <is>
          <t xml:space="preserve">Hard</t>
        </is>
      </c>
      <c r="G383" s="2" t="inlineStr">
        <is>
          <t xml:space="preserve">Number theory</t>
        </is>
      </c>
      <c r="H383" s="2" t="inlineStr">
        <is>
          <t xml:space="preserve">Math / Formula</t>
        </is>
      </c>
      <c r="I383" s="2" t="inlineStr">
        <is>
          <t xml:space="preserve">Math, Long long, Loops</t>
        </is>
      </c>
      <c r="J383" s="2" t="inlineStr">
        <is>
          <t xml:space="preserve">The last crossed value is the largest composite whose smallest prime factor is largest</t>
        </is>
      </c>
      <c r="K383" s="2" t="inlineStr">
        <is>
          <t xml:space="preserve">Математика / Решето на Ератостен; Математика / Делимост</t>
        </is>
      </c>
      <c r="L383" s="9" t="str">
        <f>HYPERLINK("https://arena.olimpiici.com/#/catalog/407/problem/101106","open problem")</f>
        <v>open problem</v>
      </c>
    </row>
    <row r="384">
      <c r="A384" s="2" t="inlineStr">
        <is>
          <t xml:space="preserve">stairs</t>
        </is>
      </c>
      <c r="B384" s="2" t="inlineStr">
        <is>
          <t xml:space="preserve">NOI - National round</t>
        </is>
      </c>
      <c r="C384" s="8" t="inlineStr">
        <is>
          <t xml:space="preserve">D</t>
        </is>
      </c>
      <c r="D384" s="8">
        <v>2019</v>
      </c>
      <c r="E384" s="6">
        <v>4</v>
      </c>
      <c r="F384" s="2" t="inlineStr">
        <is>
          <t xml:space="preserve">Hard</t>
        </is>
      </c>
      <c r="G384" s="2" t="inlineStr">
        <is>
          <t xml:space="preserve">Data structures</t>
        </is>
      </c>
      <c r="H384" s="2" t="inlineStr">
        <is>
          <t xml:space="preserve">Greedy</t>
        </is>
      </c>
      <c r="I384" s="2" t="inlineStr">
        <is>
          <t xml:space="preserve">Stacks, Arrays, Counting array</t>
        </is>
      </c>
      <c r="J384" s="2" t="inlineStr">
        <is>
          <t xml:space="preserve">Match equal heights with a monotonic stack, then remove boards that nest</t>
        </is>
      </c>
      <c r="K384" s="2" t="inlineStr">
        <is>
          <t xml:space="preserve">STL / Стек (stack)</t>
        </is>
      </c>
      <c r="L384" s="9" t="str">
        <f>HYPERLINK("https://arena.olimpiici.com/#/catalog/407/problem/101107","open problem")</f>
        <v>open problem</v>
      </c>
    </row>
    <row r="385">
      <c r="A385" s="2" t="inlineStr">
        <is>
          <t xml:space="preserve">ants</t>
        </is>
      </c>
      <c r="B385" s="2" t="inlineStr">
        <is>
          <t xml:space="preserve">NOI - National round</t>
        </is>
      </c>
      <c r="C385" s="8" t="inlineStr">
        <is>
          <t xml:space="preserve">D</t>
        </is>
      </c>
      <c r="D385" s="8">
        <v>2019</v>
      </c>
      <c r="E385" s="5">
        <v>3</v>
      </c>
      <c r="F385" s="2" t="inlineStr">
        <is>
          <t xml:space="preserve">Medium</t>
        </is>
      </c>
      <c r="G385" s="2" t="inlineStr">
        <is>
          <t xml:space="preserve">Prefix sums</t>
        </is>
      </c>
      <c r="H385" s="2" t="inlineStr">
        <is>
          <t xml:space="preserve">Counting / Frequency arrays</t>
        </is>
      </c>
      <c r="I385" s="2" t="inlineStr">
        <is>
          <t xml:space="preserve">Prefix sums, Strings, Long long</t>
        </is>
      </c>
      <c r="J385" s="2" t="inlineStr">
        <is>
          <t xml:space="preserve">Count '+' before each '-' inside the range using prefix counts</t>
        </is>
      </c>
      <c r="K385" s="2" t="inlineStr">
        <is>
          <t xml:space="preserve">Префиксни суми (prefix array)</t>
        </is>
      </c>
      <c r="L385" s="9" t="str">
        <f>HYPERLINK("https://arena.olimpiici.com/#/catalog/407/problem/101108","open problem")</f>
        <v>open problem</v>
      </c>
    </row>
    <row r="386">
      <c r="A386" s="2" t="inlineStr">
        <is>
          <t xml:space="preserve">progres</t>
        </is>
      </c>
      <c r="B386" s="2" t="inlineStr">
        <is>
          <t xml:space="preserve">NOI - National round</t>
        </is>
      </c>
      <c r="C386" s="8" t="inlineStr">
        <is>
          <t xml:space="preserve">D</t>
        </is>
      </c>
      <c r="D386" s="8">
        <v>2019</v>
      </c>
      <c r="E386" s="5">
        <v>3</v>
      </c>
      <c r="F386" s="2" t="inlineStr">
        <is>
          <t xml:space="preserve">Medium</t>
        </is>
      </c>
      <c r="G386" s="2" t="inlineStr">
        <is>
          <t xml:space="preserve">Counting / Frequency arrays</t>
        </is>
      </c>
      <c r="H386" s="2" t="inlineStr">
        <is>
          <t xml:space="preserve">Hashing / Maps</t>
        </is>
      </c>
      <c r="I386" s="2" t="inlineStr">
        <is>
          <t xml:space="preserve">Maps, Arrays, Long long</t>
        </is>
      </c>
      <c r="J386" s="2" t="inlineStr">
        <is>
          <t xml:space="preserve">Keep the most common value of a_i - i*d; everything else must change</t>
        </is>
      </c>
      <c r="K386" s="2" t="inlineStr">
        <is>
          <t xml:space="preserve">Броене с масив (counting)</t>
        </is>
      </c>
      <c r="L386" s="9" t="str">
        <f>HYPERLINK("https://arena.olimpiici.com/#/catalog/407/problem/101109","open problem")</f>
        <v>open problem</v>
      </c>
    </row>
    <row r="387">
      <c r="A387" s="2" t="inlineStr">
        <is>
          <t xml:space="preserve">rocks</t>
        </is>
      </c>
      <c r="B387" s="2" t="inlineStr">
        <is>
          <t xml:space="preserve">NOI - National round</t>
        </is>
      </c>
      <c r="C387" s="8" t="inlineStr">
        <is>
          <t xml:space="preserve">D</t>
        </is>
      </c>
      <c r="D387" s="8">
        <v>2019</v>
      </c>
      <c r="E387" s="6">
        <v>4</v>
      </c>
      <c r="F387" s="2" t="inlineStr">
        <is>
          <t xml:space="preserve">Hard</t>
        </is>
      </c>
      <c r="G387" s="2" t="inlineStr">
        <is>
          <t xml:space="preserve">Implementation / Simulation</t>
        </is>
      </c>
      <c r="H387" s="2" t="inlineStr">
        <is>
          <t xml:space="preserve">Grid/Matrix</t>
        </is>
      </c>
      <c r="I387" s="2" t="inlineStr">
        <is>
          <t xml:space="preserve">2D arrays, Grid/Matrix, Arrays</t>
        </is>
      </c>
      <c r="J387" s="2" t="inlineStr">
        <is>
          <t xml:space="preserve">Simulate each falling stone with the sliding rules over a tall narrow board</t>
        </is>
      </c>
      <c r="K387" s="2" t="inlineStr">
        <is>
          <t xml:space="preserve"/>
        </is>
      </c>
      <c r="L387" s="9" t="str">
        <f>HYPERLINK("https://arena.olimpiici.com/#/catalog/407/problem/101110","open problem")</f>
        <v>open problem</v>
      </c>
    </row>
    <row r="388">
      <c r="A388" s="2" t="inlineStr">
        <is>
          <t xml:space="preserve">sim</t>
        </is>
      </c>
      <c r="B388" s="2" t="inlineStr">
        <is>
          <t xml:space="preserve">NOI - National round</t>
        </is>
      </c>
      <c r="C388" s="8" t="inlineStr">
        <is>
          <t xml:space="preserve">D</t>
        </is>
      </c>
      <c r="D388" s="8">
        <v>2019</v>
      </c>
      <c r="E388" s="5">
        <v>3</v>
      </c>
      <c r="F388" s="2" t="inlineStr">
        <is>
          <t xml:space="preserve">Medium</t>
        </is>
      </c>
      <c r="G388" s="2" t="inlineStr">
        <is>
          <t xml:space="preserve">Hashing / Maps</t>
        </is>
      </c>
      <c r="H388" s="2" t="inlineStr">
        <is>
          <t xml:space="preserve">Ad hoc / Observation</t>
        </is>
      </c>
      <c r="I388" s="2" t="inlineStr">
        <is>
          <t xml:space="preserve">Sets, Sorting, Pairs</t>
        </is>
      </c>
      <c r="J388" s="2" t="inlineStr">
        <is>
          <t xml:space="preserve">Each X forces up to four mirrored cells; count the distinct closure</t>
        </is>
      </c>
      <c r="K388" s="2" t="inlineStr">
        <is>
          <t xml:space="preserve">STL / Set; Сортиране (sorting)</t>
        </is>
      </c>
      <c r="L388" s="9" t="str">
        <f>HYPERLINK("https://arena.olimpiici.com/#/catalog/407/problem/101111","open problem")</f>
        <v>open problem</v>
      </c>
    </row>
    <row r="389">
      <c r="A389" s="2" t="inlineStr">
        <is>
          <t xml:space="preserve">gcdd</t>
        </is>
      </c>
      <c r="B389" s="2" t="inlineStr">
        <is>
          <t xml:space="preserve">NOI - National round</t>
        </is>
      </c>
      <c r="C389" s="8" t="inlineStr">
        <is>
          <t xml:space="preserve">D</t>
        </is>
      </c>
      <c r="D389" s="8">
        <v>2020</v>
      </c>
      <c r="E389" s="6">
        <v>4</v>
      </c>
      <c r="F389" s="2" t="inlineStr">
        <is>
          <t xml:space="preserve">Hard</t>
        </is>
      </c>
      <c r="G389" s="2" t="inlineStr">
        <is>
          <t xml:space="preserve">Greedy</t>
        </is>
      </c>
      <c r="H389" s="2" t="inlineStr">
        <is>
          <t xml:space="preserve">Number theory</t>
        </is>
      </c>
      <c r="I389" s="2" t="inlineStr">
        <is>
          <t xml:space="preserve">Strings, Chars, Big integers</t>
        </is>
      </c>
      <c r="J389" s="2" t="inlineStr">
        <is>
          <t xml:space="preserve">Try each common digit divisor d, build the smallest larger number with digits sharing d</t>
        </is>
      </c>
      <c r="K389" s="2" t="inlineStr">
        <is>
          <t xml:space="preserve"/>
        </is>
      </c>
      <c r="L389" s="9" t="str">
        <f>HYPERLINK("https://arena.olimpiici.com/#/catalog/488/problem/101319","open problem")</f>
        <v>open problem</v>
      </c>
    </row>
    <row r="390">
      <c r="A390" s="2" t="inlineStr">
        <is>
          <t xml:space="preserve">zigzag</t>
        </is>
      </c>
      <c r="B390" s="2" t="inlineStr">
        <is>
          <t xml:space="preserve">NOI - National round</t>
        </is>
      </c>
      <c r="C390" s="8" t="inlineStr">
        <is>
          <t xml:space="preserve">D</t>
        </is>
      </c>
      <c r="D390" s="8">
        <v>2020</v>
      </c>
      <c r="E390" s="6">
        <v>4</v>
      </c>
      <c r="F390" s="2" t="inlineStr">
        <is>
          <t xml:space="preserve">Hard</t>
        </is>
      </c>
      <c r="G390" s="2" t="inlineStr">
        <is>
          <t xml:space="preserve">Math / Formula</t>
        </is>
      </c>
      <c r="H390" s="2" t="inlineStr">
        <is>
          <t xml:space="preserve">Implementation / Simulation</t>
        </is>
      </c>
      <c r="I390" s="2" t="inlineStr">
        <is>
          <t xml:space="preserve">Strings, Long long, Math</t>
        </is>
      </c>
      <c r="J390" s="2" t="inlineStr">
        <is>
          <t xml:space="preserve">The zigzag repeats with period 2N-2: map (word, position) back into the sentence</t>
        </is>
      </c>
      <c r="K390" s="2" t="inlineStr">
        <is>
          <t xml:space="preserve">Двумерни и многомерни масиви</t>
        </is>
      </c>
      <c r="L390" s="9" t="str">
        <f>HYPERLINK("https://arena.olimpiici.com/#/catalog/488/problem/101320","open problem")</f>
        <v>open problem</v>
      </c>
    </row>
    <row r="391">
      <c r="A391" s="2" t="inlineStr">
        <is>
          <t xml:space="preserve">scale</t>
        </is>
      </c>
      <c r="B391" s="2" t="inlineStr">
        <is>
          <t xml:space="preserve">NOI - National round</t>
        </is>
      </c>
      <c r="C391" s="8" t="inlineStr">
        <is>
          <t xml:space="preserve">D</t>
        </is>
      </c>
      <c r="D391" s="8">
        <v>2020</v>
      </c>
      <c r="E391" s="5">
        <v>3</v>
      </c>
      <c r="F391" s="2" t="inlineStr">
        <is>
          <t xml:space="preserve">Medium</t>
        </is>
      </c>
      <c r="G391" s="2" t="inlineStr">
        <is>
          <t xml:space="preserve">Brute force</t>
        </is>
      </c>
      <c r="H391" s="2" t="inlineStr">
        <is>
          <t xml:space="preserve">Implementation / Simulation</t>
        </is>
      </c>
      <c r="I391" s="2" t="inlineStr">
        <is>
          <t xml:space="preserve">Strings, Arrays, Loops</t>
        </is>
      </c>
      <c r="J391" s="2" t="inlineStr">
        <is>
          <t xml:space="preserve">Test all 24 hypotheses (coin, heavier/lighter) against the three weighings</t>
        </is>
      </c>
      <c r="K391" s="2" t="inlineStr">
        <is>
          <t xml:space="preserve"/>
        </is>
      </c>
      <c r="L391" s="9" t="str">
        <f>HYPERLINK("https://arena.olimpiici.com/#/catalog/488/problem/101321","open problem")</f>
        <v>open problem</v>
      </c>
    </row>
    <row r="392">
      <c r="A392" s="2" t="inlineStr">
        <is>
          <t xml:space="preserve">maxc</t>
        </is>
      </c>
      <c r="B392" s="2" t="inlineStr">
        <is>
          <t xml:space="preserve">NOI - National round</t>
        </is>
      </c>
      <c r="C392" s="8" t="inlineStr">
        <is>
          <t xml:space="preserve">D</t>
        </is>
      </c>
      <c r="D392" s="8">
        <v>2021</v>
      </c>
      <c r="E392" s="5">
        <v>3</v>
      </c>
      <c r="F392" s="2" t="inlineStr">
        <is>
          <t xml:space="preserve">Medium</t>
        </is>
      </c>
      <c r="G392" s="2" t="inlineStr">
        <is>
          <t xml:space="preserve">Sorting</t>
        </is>
      </c>
      <c r="H392" s="2" t="inlineStr">
        <is>
          <t xml:space="preserve">String processing</t>
        </is>
      </c>
      <c r="I392" s="2" t="inlineStr">
        <is>
          <t xml:space="preserve">Sorting, Strings, Vectors</t>
        </is>
      </c>
      <c r="J392" s="2" t="inlineStr">
        <is>
          <t xml:space="preserve">Sort with the comparator a+b &gt; b+a, then concatenate</t>
        </is>
      </c>
      <c r="K392" s="2" t="inlineStr">
        <is>
          <t xml:space="preserve">Сортиране (sorting)</t>
        </is>
      </c>
      <c r="L392" s="9" t="str">
        <f>HYPERLINK("https://arena.olimpiici.com/#/catalog/570/problem/101409","open problem")</f>
        <v>open problem</v>
      </c>
    </row>
    <row r="393">
      <c r="A393" s="2" t="inlineStr">
        <is>
          <t xml:space="preserve">major</t>
        </is>
      </c>
      <c r="B393" s="2" t="inlineStr">
        <is>
          <t xml:space="preserve">NOI - National round</t>
        </is>
      </c>
      <c r="C393" s="8" t="inlineStr">
        <is>
          <t xml:space="preserve">D</t>
        </is>
      </c>
      <c r="D393" s="8">
        <v>2021</v>
      </c>
      <c r="E393" s="6">
        <v>4</v>
      </c>
      <c r="F393" s="2" t="inlineStr">
        <is>
          <t xml:space="preserve">Hard</t>
        </is>
      </c>
      <c r="G393" s="2" t="inlineStr">
        <is>
          <t xml:space="preserve">Counting / Frequency arrays</t>
        </is>
      </c>
      <c r="H393" s="2" t="inlineStr">
        <is>
          <t xml:space="preserve">Greedy</t>
        </is>
      </c>
      <c r="I393" s="2" t="inlineStr">
        <is>
          <t xml:space="preserve">Counting array, Arrays, Loops</t>
        </is>
      </c>
      <c r="J393" s="2" t="inlineStr">
        <is>
          <t xml:space="preserve">For each candidate value, count positions already holding it and swaps that can add it</t>
        </is>
      </c>
      <c r="K393" s="2" t="inlineStr">
        <is>
          <t xml:space="preserve"/>
        </is>
      </c>
      <c r="L393" s="9" t="str">
        <f>HYPERLINK("https://arena.olimpiici.com/#/catalog/570/problem/101410","open problem")</f>
        <v>open problem</v>
      </c>
    </row>
    <row r="394">
      <c r="A394" s="2" t="inlineStr">
        <is>
          <t xml:space="preserve">beautiful</t>
        </is>
      </c>
      <c r="B394" s="2" t="inlineStr">
        <is>
          <t xml:space="preserve">NOI - National round</t>
        </is>
      </c>
      <c r="C394" s="8" t="inlineStr">
        <is>
          <t xml:space="preserve">D</t>
        </is>
      </c>
      <c r="D394" s="8">
        <v>2021</v>
      </c>
      <c r="E394" s="5">
        <v>3</v>
      </c>
      <c r="F394" s="2" t="inlineStr">
        <is>
          <t xml:space="preserve">Medium</t>
        </is>
      </c>
      <c r="G394" s="2" t="inlineStr">
        <is>
          <t xml:space="preserve">Number theory</t>
        </is>
      </c>
      <c r="H394" s="2" t="inlineStr">
        <is>
          <t xml:space="preserve">Math / Formula</t>
        </is>
      </c>
      <c r="I394" s="2" t="inlineStr">
        <is>
          <t xml:space="preserve">Math, Long long, Loops</t>
        </is>
      </c>
      <c r="J394" s="2" t="inlineStr">
        <is>
          <t xml:space="preserve">Representations as consecutive sums equal the number of odd divisors</t>
        </is>
      </c>
      <c r="K394" s="2" t="inlineStr">
        <is>
          <t xml:space="preserve"/>
        </is>
      </c>
      <c r="L394" s="9" t="str">
        <f>HYPERLINK("https://arena.olimpiici.com/#/catalog/570/problem/101411","open problem")</f>
        <v>open problem</v>
      </c>
    </row>
    <row r="395">
      <c r="A395" s="2" t="inlineStr">
        <is>
          <t xml:space="preserve">crack</t>
        </is>
      </c>
      <c r="B395" s="2" t="inlineStr">
        <is>
          <t xml:space="preserve">NOI - National round</t>
        </is>
      </c>
      <c r="C395" s="8" t="inlineStr">
        <is>
          <t xml:space="preserve">D</t>
        </is>
      </c>
      <c r="D395" s="8">
        <v>2021</v>
      </c>
      <c r="E395" s="5">
        <v>3</v>
      </c>
      <c r="F395" s="2" t="inlineStr">
        <is>
          <t xml:space="preserve">Medium</t>
        </is>
      </c>
      <c r="G395" s="2" t="inlineStr">
        <is>
          <t xml:space="preserve">Combinatorics</t>
        </is>
      </c>
      <c r="H395" s="2" t="inlineStr">
        <is>
          <t xml:space="preserve">Constructive</t>
        </is>
      </c>
      <c r="I395" s="2" t="inlineStr">
        <is>
          <t xml:space="preserve">Strings, Long long, Math</t>
        </is>
      </c>
      <c r="J395" s="2" t="inlineStr">
        <is>
          <t xml:space="preserve">Mixed-radix decoding of I over the wildcard positions</t>
        </is>
      </c>
      <c r="K395" s="2" t="inlineStr">
        <is>
          <t xml:space="preserve"/>
        </is>
      </c>
      <c r="L395" s="9" t="str">
        <f>HYPERLINK("https://arena.olimpiici.com/#/catalog/570/problem/101412","open problem")</f>
        <v>open problem</v>
      </c>
    </row>
    <row r="396">
      <c r="A396" s="2" t="inlineStr">
        <is>
          <t xml:space="preserve">herd</t>
        </is>
      </c>
      <c r="B396" s="2" t="inlineStr">
        <is>
          <t xml:space="preserve">NOI - National round</t>
        </is>
      </c>
      <c r="C396" s="8" t="inlineStr">
        <is>
          <t xml:space="preserve">D</t>
        </is>
      </c>
      <c r="D396" s="8">
        <v>2021</v>
      </c>
      <c r="E396" s="5">
        <v>3</v>
      </c>
      <c r="F396" s="2" t="inlineStr">
        <is>
          <t xml:space="preserve">Medium</t>
        </is>
      </c>
      <c r="G396" s="2" t="inlineStr">
        <is>
          <t xml:space="preserve">Graph traversal (BFS/DFS)</t>
        </is>
      </c>
      <c r="H396" s="2" t="inlineStr">
        <is>
          <t xml:space="preserve">Grid/Matrix</t>
        </is>
      </c>
      <c r="I396" s="2" t="inlineStr">
        <is>
          <t xml:space="preserve">Queues, 2D arrays, Grid/Matrix</t>
        </is>
      </c>
      <c r="J396" s="2" t="inlineStr">
        <is>
          <t xml:space="preserve">BFS the flood first, then BFS the shepherd, entering a cell only before it floods</t>
        </is>
      </c>
      <c r="K396" s="2" t="inlineStr">
        <is>
          <t xml:space="preserve">Графи / Търсене в ширина (BFS)</t>
        </is>
      </c>
      <c r="L396" s="9" t="str">
        <f>HYPERLINK("https://arena.olimpiici.com/#/catalog/570/problem/101413","open problem")</f>
        <v>open problem</v>
      </c>
    </row>
    <row r="397">
      <c r="A397" s="2" t="inlineStr">
        <is>
          <t xml:space="preserve">diag</t>
        </is>
      </c>
      <c r="B397" s="2" t="inlineStr">
        <is>
          <t xml:space="preserve">NOI - National round</t>
        </is>
      </c>
      <c r="C397" s="8" t="inlineStr">
        <is>
          <t xml:space="preserve">D</t>
        </is>
      </c>
      <c r="D397" s="8">
        <v>2021</v>
      </c>
      <c r="E397" s="6">
        <v>4</v>
      </c>
      <c r="F397" s="2" t="inlineStr">
        <is>
          <t xml:space="preserve">Hard</t>
        </is>
      </c>
      <c r="G397" s="2" t="inlineStr">
        <is>
          <t xml:space="preserve">Math / Formula</t>
        </is>
      </c>
      <c r="H397" s="2" t="inlineStr">
        <is>
          <t xml:space="preserve">Grid/Matrix</t>
        </is>
      </c>
      <c r="I397" s="2" t="inlineStr">
        <is>
          <t xml:space="preserve">Math, Long long, Loops</t>
        </is>
      </c>
      <c r="J397" s="2" t="inlineStr">
        <is>
          <t xml:space="preserve">Closed-form areas of the four regions cut by the two diagonals on a huge grid</t>
        </is>
      </c>
      <c r="K397" s="2" t="inlineStr">
        <is>
          <t xml:space="preserve"/>
        </is>
      </c>
      <c r="L397" s="9" t="str">
        <f>HYPERLINK("https://arena.olimpiici.com/#/catalog/570/problem/101414","open problem")</f>
        <v>open problem</v>
      </c>
    </row>
    <row r="398">
      <c r="A398" s="2" t="inlineStr">
        <is>
          <t xml:space="preserve">nosum</t>
        </is>
      </c>
      <c r="B398" s="2" t="inlineStr">
        <is>
          <t xml:space="preserve">NOI - National round</t>
        </is>
      </c>
      <c r="C398" s="8" t="inlineStr">
        <is>
          <t xml:space="preserve">D</t>
        </is>
      </c>
      <c r="D398" s="8">
        <v>2022</v>
      </c>
      <c r="E398" s="6">
        <v>4</v>
      </c>
      <c r="F398" s="2" t="inlineStr">
        <is>
          <t xml:space="preserve">Hard</t>
        </is>
      </c>
      <c r="G398" s="2" t="inlineStr">
        <is>
          <t xml:space="preserve">Dynamic programming</t>
        </is>
      </c>
      <c r="H398" s="2" t="inlineStr">
        <is>
          <t xml:space="preserve">Bit manipulation</t>
        </is>
      </c>
      <c r="I398" s="2" t="inlineStr">
        <is>
          <t xml:space="preserve">Bitmask, Arrays, Counting array</t>
        </is>
      </c>
      <c r="J398" s="2" t="inlineStr">
        <is>
          <t xml:space="preserve">Subset-sum reachability with a bitset, then the longest gap inside [k1,k2]</t>
        </is>
      </c>
      <c r="K398" s="2" t="inlineStr">
        <is>
          <t xml:space="preserve"/>
        </is>
      </c>
      <c r="L398" s="9" t="str">
        <f>HYPERLINK("https://arena.olimpiici.com/#/catalog/674/problem/101711","open problem")</f>
        <v>open problem</v>
      </c>
    </row>
    <row r="399">
      <c r="A399" s="2" t="inlineStr">
        <is>
          <t xml:space="preserve">sec</t>
        </is>
      </c>
      <c r="B399" s="2" t="inlineStr">
        <is>
          <t xml:space="preserve">NOI - National round</t>
        </is>
      </c>
      <c r="C399" s="8" t="inlineStr">
        <is>
          <t xml:space="preserve">D</t>
        </is>
      </c>
      <c r="D399" s="8">
        <v>2022</v>
      </c>
      <c r="E399" s="6">
        <v>4</v>
      </c>
      <c r="F399" s="2" t="inlineStr">
        <is>
          <t xml:space="preserve">Hard</t>
        </is>
      </c>
      <c r="G399" s="2" t="inlineStr">
        <is>
          <t xml:space="preserve">Dynamic programming</t>
        </is>
      </c>
      <c r="H399" s="2" t="inlineStr">
        <is>
          <t xml:space="preserve">Combinatorics</t>
        </is>
      </c>
      <c r="I399" s="2" t="inlineStr">
        <is>
          <t xml:space="preserve">Arrays, Long long, Math</t>
        </is>
      </c>
      <c r="J399" s="2" t="inlineStr">
        <is>
          <t xml:space="preserve">Fix the Fibonacci prefix of lengths, then count the ways to spend the remainder</t>
        </is>
      </c>
      <c r="K399" s="2" t="inlineStr">
        <is>
          <t xml:space="preserve"/>
        </is>
      </c>
      <c r="L399" s="9" t="str">
        <f>HYPERLINK("https://arena.olimpiici.com/#/catalog/674/problem/101712","open problem")</f>
        <v>open problem</v>
      </c>
    </row>
    <row r="400">
      <c r="A400" s="2" t="inlineStr">
        <is>
          <t xml:space="preserve">izobilni</t>
        </is>
      </c>
      <c r="B400" s="2" t="inlineStr">
        <is>
          <t xml:space="preserve">NOI - National round</t>
        </is>
      </c>
      <c r="C400" s="8" t="inlineStr">
        <is>
          <t xml:space="preserve">D</t>
        </is>
      </c>
      <c r="D400" s="8">
        <v>2022</v>
      </c>
      <c r="E400" s="5">
        <v>3</v>
      </c>
      <c r="F400" s="2" t="inlineStr">
        <is>
          <t xml:space="preserve">Medium</t>
        </is>
      </c>
      <c r="G400" s="2" t="inlineStr">
        <is>
          <t xml:space="preserve">Number theory</t>
        </is>
      </c>
      <c r="H400" s="2" t="inlineStr">
        <is>
          <t xml:space="preserve">Prefix sums</t>
        </is>
      </c>
      <c r="I400" s="2" t="inlineStr">
        <is>
          <t xml:space="preserve">Arrays, Prefix sums, Loops</t>
        </is>
      </c>
      <c r="J400" s="2" t="inlineStr">
        <is>
          <t xml:space="preserve">Sieve divisor sums to 10^6, prefix-count abundant numbers, answer queries in O(1)</t>
        </is>
      </c>
      <c r="K400" s="2" t="inlineStr">
        <is>
          <t xml:space="preserve"/>
        </is>
      </c>
      <c r="L400" s="9" t="str">
        <f>HYPERLINK("https://arena.olimpiici.com/#/catalog/674/problem/101713","open problem")</f>
        <v>open problem</v>
      </c>
    </row>
    <row r="401">
      <c r="A401" s="2" t="inlineStr">
        <is>
          <t xml:space="preserve">playlists</t>
        </is>
      </c>
      <c r="B401" s="2" t="inlineStr">
        <is>
          <t xml:space="preserve">NOI - National round</t>
        </is>
      </c>
      <c r="C401" s="8" t="inlineStr">
        <is>
          <t xml:space="preserve">D</t>
        </is>
      </c>
      <c r="D401" s="8">
        <v>2022</v>
      </c>
      <c r="E401" s="6">
        <v>4</v>
      </c>
      <c r="F401" s="2" t="inlineStr">
        <is>
          <t xml:space="preserve">Hard</t>
        </is>
      </c>
      <c r="G401" s="2" t="inlineStr">
        <is>
          <t xml:space="preserve">Number theory</t>
        </is>
      </c>
      <c r="H401" s="2" t="inlineStr">
        <is>
          <t xml:space="preserve">Constructive</t>
        </is>
      </c>
      <c r="I401" s="2" t="inlineStr">
        <is>
          <t xml:space="preserve">Vectors, Sorting, Math</t>
        </is>
      </c>
      <c r="J401" s="2" t="inlineStr">
        <is>
          <t xml:space="preserve">Playlist size must divide the paired genre totals: pair genres and take the largest gcd</t>
        </is>
      </c>
      <c r="K401" s="2" t="inlineStr">
        <is>
          <t xml:space="preserve">Математика / Делимост; STL / vector</t>
        </is>
      </c>
      <c r="L401" s="9" t="str">
        <f>HYPERLINK("https://arena.olimpiici.com/#/catalog/674/problem/101714","open problem")</f>
        <v>open problem</v>
      </c>
    </row>
    <row r="402">
      <c r="A402" s="2" t="inlineStr">
        <is>
          <t xml:space="preserve">area</t>
        </is>
      </c>
      <c r="B402" s="2" t="inlineStr">
        <is>
          <t xml:space="preserve">NOI - National round</t>
        </is>
      </c>
      <c r="C402" s="8" t="inlineStr">
        <is>
          <t xml:space="preserve">D</t>
        </is>
      </c>
      <c r="D402" s="8">
        <v>2022</v>
      </c>
      <c r="E402" s="6">
        <v>4</v>
      </c>
      <c r="F402" s="2" t="inlineStr">
        <is>
          <t xml:space="preserve">Hard</t>
        </is>
      </c>
      <c r="G402" s="2" t="inlineStr">
        <is>
          <t xml:space="preserve">Grid/Matrix</t>
        </is>
      </c>
      <c r="H402" s="2" t="inlineStr">
        <is>
          <t xml:space="preserve">Math / Formula</t>
        </is>
      </c>
      <c r="I402" s="2" t="inlineStr">
        <is>
          <t xml:space="preserve">2D arrays, Grid/Matrix, Math</t>
        </is>
      </c>
      <c r="J402" s="2" t="inlineStr">
        <is>
          <t xml:space="preserve">Perimeter counts per cell give area, perimeter and both kinds of corners</t>
        </is>
      </c>
      <c r="K402" s="2" t="inlineStr">
        <is>
          <t xml:space="preserve"/>
        </is>
      </c>
      <c r="L402" s="9" t="str">
        <f>HYPERLINK("https://arena.olimpiici.com/#/catalog/674/problem/101715","open problem")</f>
        <v>open problem</v>
      </c>
    </row>
    <row r="403">
      <c r="A403" s="2" t="inlineStr">
        <is>
          <t xml:space="preserve">sumpow</t>
        </is>
      </c>
      <c r="B403" s="2" t="inlineStr">
        <is>
          <t xml:space="preserve">NOI - National round</t>
        </is>
      </c>
      <c r="C403" s="8" t="inlineStr">
        <is>
          <t xml:space="preserve">D</t>
        </is>
      </c>
      <c r="D403" s="8">
        <v>2022</v>
      </c>
      <c r="E403" s="5">
        <v>3</v>
      </c>
      <c r="F403" s="2" t="inlineStr">
        <is>
          <t xml:space="preserve">Medium</t>
        </is>
      </c>
      <c r="G403" s="2" t="inlineStr">
        <is>
          <t xml:space="preserve">Math / Formula</t>
        </is>
      </c>
      <c r="H403" s="2" t="inlineStr">
        <is>
          <t xml:space="preserve">Counting / Frequency arrays</t>
        </is>
      </c>
      <c r="I403" s="2" t="inlineStr">
        <is>
          <t xml:space="preserve">Long long, Math, Loops</t>
        </is>
      </c>
      <c r="J403" s="2" t="inlineStr">
        <is>
          <t xml:space="preserve">Sums of consecutive powers of two are (2^b - 2^a); enumerate the pairs up to n</t>
        </is>
      </c>
      <c r="K403" s="2" t="inlineStr">
        <is>
          <t xml:space="preserve"/>
        </is>
      </c>
      <c r="L403" s="9" t="str">
        <f>HYPERLINK("https://arena.olimpiici.com/#/catalog/674/problem/101716","open problem")</f>
        <v>open problem</v>
      </c>
    </row>
    <row r="404">
      <c r="A404" s="2" t="inlineStr">
        <is>
          <t xml:space="preserve">wall</t>
        </is>
      </c>
      <c r="B404" s="2" t="inlineStr">
        <is>
          <t xml:space="preserve">NOI - National round</t>
        </is>
      </c>
      <c r="C404" s="8" t="inlineStr">
        <is>
          <t xml:space="preserve">D</t>
        </is>
      </c>
      <c r="D404" s="8">
        <v>2023</v>
      </c>
      <c r="E404" s="6">
        <v>4</v>
      </c>
      <c r="F404" s="2" t="inlineStr">
        <is>
          <t xml:space="preserve">Hard</t>
        </is>
      </c>
      <c r="G404" s="2" t="inlineStr">
        <is>
          <t xml:space="preserve">Math / Formula</t>
        </is>
      </c>
      <c r="H404" s="2" t="inlineStr">
        <is>
          <t xml:space="preserve">Brute force</t>
        </is>
      </c>
      <c r="I404" s="2" t="inlineStr">
        <is>
          <t xml:space="preserve">Long long, Math, Loops</t>
        </is>
      </c>
      <c r="J404" s="2" t="inlineStr">
        <is>
          <t xml:space="preserve">Enumerate wall heights that divide the piece counts and check the no-split condition</t>
        </is>
      </c>
      <c r="K404" s="2" t="inlineStr">
        <is>
          <t xml:space="preserve"/>
        </is>
      </c>
      <c r="L404" s="9" t="str">
        <f>HYPERLINK("https://arena.olimpiici.com/#/catalog/751/problem/101940","open problem")</f>
        <v>open problem</v>
      </c>
    </row>
    <row r="405">
      <c r="A405" s="2" t="inlineStr">
        <is>
          <t xml:space="preserve">brackets</t>
        </is>
      </c>
      <c r="B405" s="2" t="inlineStr">
        <is>
          <t xml:space="preserve">NOI - National round</t>
        </is>
      </c>
      <c r="C405" s="8" t="inlineStr">
        <is>
          <t xml:space="preserve">D</t>
        </is>
      </c>
      <c r="D405" s="8">
        <v>2023</v>
      </c>
      <c r="E405" s="5">
        <v>3</v>
      </c>
      <c r="F405" s="2" t="inlineStr">
        <is>
          <t xml:space="preserve">Medium</t>
        </is>
      </c>
      <c r="G405" s="2" t="inlineStr">
        <is>
          <t xml:space="preserve">Data structures</t>
        </is>
      </c>
      <c r="H405" s="2" t="inlineStr">
        <is>
          <t xml:space="preserve">Counting / Frequency arrays</t>
        </is>
      </c>
      <c r="I405" s="2" t="inlineStr">
        <is>
          <t xml:space="preserve">Stacks, Strings, Long long</t>
        </is>
      </c>
      <c r="J405" s="2" t="inlineStr">
        <is>
          <t xml:space="preserve">Stack matching: each closing bracket adds the number of balanced suffixes ending there</t>
        </is>
      </c>
      <c r="K405" s="2" t="inlineStr">
        <is>
          <t xml:space="preserve">Броене с масив (counting)</t>
        </is>
      </c>
      <c r="L405" s="9" t="str">
        <f>HYPERLINK("https://arena.olimpiici.com/#/catalog/751/problem/101941","open problem")</f>
        <v>open problem</v>
      </c>
    </row>
    <row r="406">
      <c r="A406" s="2" t="inlineStr">
        <is>
          <t xml:space="preserve">escape</t>
        </is>
      </c>
      <c r="B406" s="2" t="inlineStr">
        <is>
          <t xml:space="preserve">NOI - National round</t>
        </is>
      </c>
      <c r="C406" s="8" t="inlineStr">
        <is>
          <t xml:space="preserve">D</t>
        </is>
      </c>
      <c r="D406" s="8">
        <v>2023</v>
      </c>
      <c r="E406" s="6">
        <v>4</v>
      </c>
      <c r="F406" s="2" t="inlineStr">
        <is>
          <t xml:space="preserve">Hard</t>
        </is>
      </c>
      <c r="G406" s="2" t="inlineStr">
        <is>
          <t xml:space="preserve">Graph traversal (BFS/DFS)</t>
        </is>
      </c>
      <c r="H406" s="2" t="inlineStr">
        <is>
          <t xml:space="preserve">Ad hoc / Observation</t>
        </is>
      </c>
      <c r="I406" s="2" t="inlineStr">
        <is>
          <t xml:space="preserve">Sorting, Pairs, Vectors</t>
        </is>
      </c>
      <c r="J406" s="2" t="inlineStr">
        <is>
          <t xml:space="preserve">Only the 1000 blocked cells matter: a path is blocked iff they form a connected barrier</t>
        </is>
      </c>
      <c r="K406" s="2" t="inlineStr">
        <is>
          <t xml:space="preserve"/>
        </is>
      </c>
      <c r="L406" s="9" t="str">
        <f>HYPERLINK("https://arena.olimpiici.com/#/catalog/751/problem/101942","open problem")</f>
        <v>open problem</v>
      </c>
    </row>
    <row r="407">
      <c r="A407" s="2" t="inlineStr">
        <is>
          <t xml:space="preserve">nice</t>
        </is>
      </c>
      <c r="B407" s="2" t="inlineStr">
        <is>
          <t xml:space="preserve">NOI - National round</t>
        </is>
      </c>
      <c r="C407" s="8" t="inlineStr">
        <is>
          <t xml:space="preserve">D</t>
        </is>
      </c>
      <c r="D407" s="8">
        <v>2023</v>
      </c>
      <c r="E407" s="6">
        <v>4</v>
      </c>
      <c r="F407" s="2" t="inlineStr">
        <is>
          <t xml:space="preserve">Hard</t>
        </is>
      </c>
      <c r="G407" s="2" t="inlineStr">
        <is>
          <t xml:space="preserve">Hashing / Maps</t>
        </is>
      </c>
      <c r="H407" s="2" t="inlineStr">
        <is>
          <t xml:space="preserve">Brute force</t>
        </is>
      </c>
      <c r="I407" s="2" t="inlineStr">
        <is>
          <t xml:space="preserve">Sets, Nested loops, Arrays</t>
        </is>
      </c>
      <c r="J407" s="2" t="inlineStr">
        <is>
          <t xml:space="preserve">Maintain all pairwise sums of the prefix, then test each new value against them</t>
        </is>
      </c>
      <c r="K407" s="2" t="inlineStr">
        <is>
          <t xml:space="preserve"/>
        </is>
      </c>
      <c r="L407" s="9" t="str">
        <f>HYPERLINK("https://arena.olimpiici.com/#/catalog/751/problem/101943","open problem")</f>
        <v>open problem</v>
      </c>
    </row>
    <row r="408">
      <c r="A408" s="2" t="inlineStr">
        <is>
          <t xml:space="preserve">sightseeing</t>
        </is>
      </c>
      <c r="B408" s="2" t="inlineStr">
        <is>
          <t xml:space="preserve">NOI - National round</t>
        </is>
      </c>
      <c r="C408" s="8" t="inlineStr">
        <is>
          <t xml:space="preserve">D</t>
        </is>
      </c>
      <c r="D408" s="8">
        <v>2023</v>
      </c>
      <c r="E408" s="7">
        <v>5</v>
      </c>
      <c r="F408" s="2" t="inlineStr">
        <is>
          <t xml:space="preserve">Very hard</t>
        </is>
      </c>
      <c r="G408" s="2" t="inlineStr">
        <is>
          <t xml:space="preserve">Data structures</t>
        </is>
      </c>
      <c r="H408" s="2" t="inlineStr">
        <is>
          <t xml:space="preserve">Prefix sums</t>
        </is>
      </c>
      <c r="I408" s="2" t="inlineStr">
        <is>
          <t xml:space="preserve">Stacks, Prefix sums, Long long</t>
        </is>
      </c>
      <c r="J408" s="2" t="inlineStr">
        <is>
          <t xml:space="preserve">Sum visibility over all (l,r) via monotonic stacks counting each building's contribution</t>
        </is>
      </c>
      <c r="K408" s="2" t="inlineStr">
        <is>
          <t xml:space="preserve">STL / Стек (stack)</t>
        </is>
      </c>
      <c r="L408" s="9" t="str">
        <f>HYPERLINK("https://arena.olimpiici.com/#/catalog/751/problem/101944","open problem")</f>
        <v>open problem</v>
      </c>
    </row>
    <row r="409">
      <c r="A409" s="2" t="inlineStr">
        <is>
          <t xml:space="preserve">snake</t>
        </is>
      </c>
      <c r="B409" s="2" t="inlineStr">
        <is>
          <t xml:space="preserve">NOI - National round</t>
        </is>
      </c>
      <c r="C409" s="8" t="inlineStr">
        <is>
          <t xml:space="preserve">D</t>
        </is>
      </c>
      <c r="D409" s="8">
        <v>2023</v>
      </c>
      <c r="E409" s="7">
        <v>5</v>
      </c>
      <c r="F409" s="2" t="inlineStr">
        <is>
          <t xml:space="preserve">Very hard</t>
        </is>
      </c>
      <c r="G409" s="2" t="inlineStr">
        <is>
          <t xml:space="preserve">Constructive</t>
        </is>
      </c>
      <c r="H409" s="2" t="inlineStr">
        <is>
          <t xml:space="preserve">Grid/Matrix</t>
        </is>
      </c>
      <c r="I409" s="2" t="inlineStr">
        <is>
          <t xml:space="preserve">3D arrays, Vectors, Loops</t>
        </is>
      </c>
      <c r="J409" s="2" t="inlineStr">
        <is>
          <t xml:space="preserve">Build a Hamiltonian cycle in the box by boustrophedon layers; parity decides existence</t>
        </is>
      </c>
      <c r="K409" s="2" t="inlineStr">
        <is>
          <t xml:space="preserve"/>
        </is>
      </c>
      <c r="L409" s="9" t="str">
        <f>HYPERLINK("https://arena.olimpiici.com/#/catalog/751/problem/101945","open problem")</f>
        <v>open problem</v>
      </c>
    </row>
    <row r="410">
      <c r="A410" s="2" t="inlineStr">
        <is>
          <t xml:space="preserve">shots</t>
        </is>
      </c>
      <c r="B410" s="2" t="inlineStr">
        <is>
          <t xml:space="preserve">NOI - National round</t>
        </is>
      </c>
      <c r="C410" s="8" t="inlineStr">
        <is>
          <t xml:space="preserve">D</t>
        </is>
      </c>
      <c r="D410" s="8">
        <v>2024</v>
      </c>
      <c r="E410" s="6">
        <v>4</v>
      </c>
      <c r="F410" s="2" t="inlineStr">
        <is>
          <t xml:space="preserve">Hard</t>
        </is>
      </c>
      <c r="G410" s="2" t="inlineStr">
        <is>
          <t xml:space="preserve">Number theory</t>
        </is>
      </c>
      <c r="H410" s="2" t="inlineStr">
        <is>
          <t xml:space="preserve">Counting / Frequency arrays</t>
        </is>
      </c>
      <c r="I410" s="2" t="inlineStr">
        <is>
          <t xml:space="preserve">Arrays, Math, Loops</t>
        </is>
      </c>
      <c r="J410" s="2" t="inlineStr">
        <is>
          <t xml:space="preserve">One shot per visible lattice direction: count coprime pairs with a totient/Moebius sieve</t>
        </is>
      </c>
      <c r="K410" s="2" t="inlineStr">
        <is>
          <t xml:space="preserve"/>
        </is>
      </c>
      <c r="L410" s="9" t="str">
        <f>HYPERLINK("https://arena.olimpiici.com/#/catalog/803/problem/102127","open problem")</f>
        <v>open problem</v>
      </c>
    </row>
    <row r="411">
      <c r="A411" s="2" t="inlineStr">
        <is>
          <t xml:space="preserve">decoding</t>
        </is>
      </c>
      <c r="B411" s="2" t="inlineStr">
        <is>
          <t xml:space="preserve">NOI - National round</t>
        </is>
      </c>
      <c r="C411" s="8" t="inlineStr">
        <is>
          <t xml:space="preserve">D</t>
        </is>
      </c>
      <c r="D411" s="8">
        <v>2024</v>
      </c>
      <c r="E411" s="5">
        <v>3</v>
      </c>
      <c r="F411" s="2" t="inlineStr">
        <is>
          <t xml:space="preserve">Medium</t>
        </is>
      </c>
      <c r="G411" s="2" t="inlineStr">
        <is>
          <t xml:space="preserve">String processing</t>
        </is>
      </c>
      <c r="H411" s="2" t="inlineStr">
        <is>
          <t xml:space="preserve">Implementation / Simulation</t>
        </is>
      </c>
      <c r="I411" s="2" t="inlineStr">
        <is>
          <t xml:space="preserve">Strings, 2D arrays, I/O parsing</t>
        </is>
      </c>
      <c r="J411" s="2" t="inlineStr">
        <is>
          <t xml:space="preserve">Scytale cipher: decode d and s, then unwind the rows back into the message</t>
        </is>
      </c>
      <c r="K411" s="2" t="inlineStr">
        <is>
          <t xml:space="preserve"/>
        </is>
      </c>
      <c r="L411" s="9" t="str">
        <f>HYPERLINK("https://arena.olimpiici.com/#/catalog/803/problem/102128","open problem")</f>
        <v>open problem</v>
      </c>
    </row>
    <row r="412">
      <c r="A412" s="2" t="inlineStr">
        <is>
          <t xml:space="preserve">prime3</t>
        </is>
      </c>
      <c r="B412" s="2" t="inlineStr">
        <is>
          <t xml:space="preserve">NOI - National round</t>
        </is>
      </c>
      <c r="C412" s="8" t="inlineStr">
        <is>
          <t xml:space="preserve">D</t>
        </is>
      </c>
      <c r="D412" s="8">
        <v>2024</v>
      </c>
      <c r="E412" s="5">
        <v>3</v>
      </c>
      <c r="F412" s="2" t="inlineStr">
        <is>
          <t xml:space="preserve">Medium</t>
        </is>
      </c>
      <c r="G412" s="2" t="inlineStr">
        <is>
          <t xml:space="preserve">Number theory</t>
        </is>
      </c>
      <c r="H412" s="2" t="inlineStr">
        <is>
          <t xml:space="preserve">Prefix sums</t>
        </is>
      </c>
      <c r="I412" s="2" t="inlineStr">
        <is>
          <t xml:space="preserve">Arrays, Prefix sums, Loops</t>
        </is>
      </c>
      <c r="J412" s="2" t="inlineStr">
        <is>
          <t xml:space="preserve">Sieve the count of distinct prime factors, prefix-count values with exactly three</t>
        </is>
      </c>
      <c r="K412" s="2" t="inlineStr">
        <is>
          <t xml:space="preserve"/>
        </is>
      </c>
      <c r="L412" s="9" t="str">
        <f>HYPERLINK("https://arena.olimpiici.com/#/catalog/803/problem/102129","open problem")</f>
        <v>open problem</v>
      </c>
    </row>
    <row r="413">
      <c r="A413" s="2" t="inlineStr">
        <is>
          <t xml:space="preserve">bitstring</t>
        </is>
      </c>
      <c r="B413" s="2" t="inlineStr">
        <is>
          <t xml:space="preserve">NOI - National round</t>
        </is>
      </c>
      <c r="C413" s="8" t="inlineStr">
        <is>
          <t xml:space="preserve">D</t>
        </is>
      </c>
      <c r="D413" s="8">
        <v>2024</v>
      </c>
      <c r="E413" s="6">
        <v>4</v>
      </c>
      <c r="F413" s="2" t="inlineStr">
        <is>
          <t xml:space="preserve">Hard</t>
        </is>
      </c>
      <c r="G413" s="2" t="inlineStr">
        <is>
          <t xml:space="preserve">Data structures</t>
        </is>
      </c>
      <c r="H413" s="2" t="inlineStr">
        <is>
          <t xml:space="preserve">Counting / Frequency arrays</t>
        </is>
      </c>
      <c r="I413" s="2" t="inlineStr">
        <is>
          <t xml:space="preserve">Arrays, Long long, Strings</t>
        </is>
      </c>
      <c r="J413" s="2" t="inlineStr">
        <is>
          <t xml:space="preserve">Maintain runs of equal bits; a flip changes only the local runs' k(k+1)/2 contributions</t>
        </is>
      </c>
      <c r="K413" s="2" t="inlineStr">
        <is>
          <t xml:space="preserve"/>
        </is>
      </c>
      <c r="L413" s="9" t="str">
        <f>HYPERLINK("https://arena.olimpiici.com/#/catalog/803/problem/102130","open problem")</f>
        <v>open problem</v>
      </c>
    </row>
    <row r="414">
      <c r="A414" s="2" t="inlineStr">
        <is>
          <t xml:space="preserve">game</t>
        </is>
      </c>
      <c r="B414" s="2" t="inlineStr">
        <is>
          <t xml:space="preserve">NOI - National round</t>
        </is>
      </c>
      <c r="C414" s="8" t="inlineStr">
        <is>
          <t xml:space="preserve">D</t>
        </is>
      </c>
      <c r="D414" s="8">
        <v>2024</v>
      </c>
      <c r="E414" s="6">
        <v>4</v>
      </c>
      <c r="F414" s="2" t="inlineStr">
        <is>
          <t xml:space="preserve">Hard</t>
        </is>
      </c>
      <c r="G414" s="2" t="inlineStr">
        <is>
          <t xml:space="preserve">Math / Formula</t>
        </is>
      </c>
      <c r="H414" s="2" t="inlineStr">
        <is>
          <t xml:space="preserve">Implementation / Simulation</t>
        </is>
      </c>
      <c r="I414" s="2" t="inlineStr">
        <is>
          <t xml:space="preserve">Math, Long long, Loops</t>
        </is>
      </c>
      <c r="J414" s="2" t="inlineStr">
        <is>
          <t xml:space="preserve">Josephus with step two: the survivor follows a closed form, invert it for k</t>
        </is>
      </c>
      <c r="K414" s="2" t="inlineStr">
        <is>
          <t xml:space="preserve"/>
        </is>
      </c>
      <c r="L414" s="9" t="str">
        <f>HYPERLINK("https://arena.olimpiici.com/#/catalog/803/problem/102131","open problem")</f>
        <v>open problem</v>
      </c>
    </row>
    <row r="415">
      <c r="A415" s="2" t="inlineStr">
        <is>
          <t xml:space="preserve">rank</t>
        </is>
      </c>
      <c r="B415" s="2" t="inlineStr">
        <is>
          <t xml:space="preserve">NOI - National round</t>
        </is>
      </c>
      <c r="C415" s="8" t="inlineStr">
        <is>
          <t xml:space="preserve">D</t>
        </is>
      </c>
      <c r="D415" s="8">
        <v>2024</v>
      </c>
      <c r="E415" s="5">
        <v>3</v>
      </c>
      <c r="F415" s="2" t="inlineStr">
        <is>
          <t xml:space="preserve">Medium</t>
        </is>
      </c>
      <c r="G415" s="2" t="inlineStr">
        <is>
          <t xml:space="preserve">Sorting</t>
        </is>
      </c>
      <c r="H415" s="2" t="inlineStr">
        <is>
          <t xml:space="preserve">Counting / Frequency arrays</t>
        </is>
      </c>
      <c r="I415" s="2" t="inlineStr">
        <is>
          <t xml:space="preserve">Sorting, Memory optimization, Arrays</t>
        </is>
      </c>
      <c r="J415" s="2" t="inlineStr">
        <is>
          <t xml:space="preserve">Find the k-th distinct score from the top while staying inside 2 MB</t>
        </is>
      </c>
      <c r="K415" s="2" t="inlineStr">
        <is>
          <t xml:space="preserve"/>
        </is>
      </c>
      <c r="L415" s="9" t="str">
        <f>HYPERLINK("https://arena.olimpiici.com/#/catalog/803/problem/102132","open problem")</f>
        <v>open problem</v>
      </c>
    </row>
    <row r="416">
      <c r="A416" s="2" t="inlineStr">
        <is>
          <t xml:space="preserve">bus</t>
        </is>
      </c>
      <c r="B416" s="2" t="inlineStr">
        <is>
          <t xml:space="preserve">NOI - National round</t>
        </is>
      </c>
      <c r="C416" s="8" t="inlineStr">
        <is>
          <t xml:space="preserve">D</t>
        </is>
      </c>
      <c r="D416" s="8">
        <v>2025</v>
      </c>
      <c r="E416" s="6">
        <v>4</v>
      </c>
      <c r="F416" s="2" t="inlineStr">
        <is>
          <t xml:space="preserve">Hard</t>
        </is>
      </c>
      <c r="G416" s="2" t="inlineStr">
        <is>
          <t xml:space="preserve">Implementation / Simulation</t>
        </is>
      </c>
      <c r="H416" s="2" t="inlineStr">
        <is>
          <t xml:space="preserve">Counting / Frequency arrays</t>
        </is>
      </c>
      <c r="I416" s="2" t="inlineStr">
        <is>
          <t xml:space="preserve">Counting array, Arrays, Loops</t>
        </is>
      </c>
      <c r="J416" s="2" t="inlineStr">
        <is>
          <t xml:space="preserve">Track scheduled boardings and alightings per stop to decide where the bus stops</t>
        </is>
      </c>
      <c r="K416" s="2" t="inlineStr">
        <is>
          <t xml:space="preserve"/>
        </is>
      </c>
      <c r="L416" s="9" t="str">
        <f>HYPERLINK("https://arena.olimpiici.com/#/catalog/870/problem/102348","open problem")</f>
        <v>open problem</v>
      </c>
    </row>
    <row r="417">
      <c r="A417" s="2" t="inlineStr">
        <is>
          <t xml:space="preserve">smallest</t>
        </is>
      </c>
      <c r="B417" s="2" t="inlineStr">
        <is>
          <t xml:space="preserve">NOI - National round</t>
        </is>
      </c>
      <c r="C417" s="8" t="inlineStr">
        <is>
          <t xml:space="preserve">D</t>
        </is>
      </c>
      <c r="D417" s="8">
        <v>2025</v>
      </c>
      <c r="E417" s="5">
        <v>3</v>
      </c>
      <c r="F417" s="2" t="inlineStr">
        <is>
          <t xml:space="preserve">Medium</t>
        </is>
      </c>
      <c r="G417" s="2" t="inlineStr">
        <is>
          <t xml:space="preserve">Counting / Frequency arrays</t>
        </is>
      </c>
      <c r="H417" s="2" t="inlineStr">
        <is>
          <t xml:space="preserve">Bit manipulation</t>
        </is>
      </c>
      <c r="I417" s="2" t="inlineStr">
        <is>
          <t xml:space="preserve">Bitmask, Counting array, Memory optimization</t>
        </is>
      </c>
      <c r="J417" s="2" t="inlineStr">
        <is>
          <t xml:space="preserve">Mark which values above X appear in a bitset and scan for the first gap</t>
        </is>
      </c>
      <c r="K417" s="2" t="inlineStr">
        <is>
          <t xml:space="preserve"/>
        </is>
      </c>
      <c r="L417" s="9" t="str">
        <f>HYPERLINK("https://arena.olimpiici.com/#/catalog/870/problem/102349","open problem")</f>
        <v>open problem</v>
      </c>
    </row>
    <row r="418">
      <c r="A418" s="2" t="inlineStr">
        <is>
          <t xml:space="preserve">pass</t>
        </is>
      </c>
      <c r="B418" s="2" t="inlineStr">
        <is>
          <t xml:space="preserve">NOI - National round</t>
        </is>
      </c>
      <c r="C418" s="8" t="inlineStr">
        <is>
          <t xml:space="preserve">D</t>
        </is>
      </c>
      <c r="D418" s="8">
        <v>2025</v>
      </c>
      <c r="E418" s="6">
        <v>4</v>
      </c>
      <c r="F418" s="2" t="inlineStr">
        <is>
          <t xml:space="preserve">Hard</t>
        </is>
      </c>
      <c r="G418" s="2" t="inlineStr">
        <is>
          <t xml:space="preserve">Greedy</t>
        </is>
      </c>
      <c r="H418" s="2" t="inlineStr">
        <is>
          <t xml:space="preserve">String processing</t>
        </is>
      </c>
      <c r="I418" s="2" t="inlineStr">
        <is>
          <t xml:space="preserve">Strings, Chars, Big integers</t>
        </is>
      </c>
      <c r="J418" s="2" t="inlineStr">
        <is>
          <t xml:space="preserve">Split the digits into two passes so the larger number is as small as possible</t>
        </is>
      </c>
      <c r="K418" s="2" t="inlineStr">
        <is>
          <t xml:space="preserve"/>
        </is>
      </c>
      <c r="L418" s="9" t="str">
        <f>HYPERLINK("https://arena.olimpiici.com/#/catalog/870/problem/102350","open problem")</f>
        <v>open problem</v>
      </c>
    </row>
    <row r="419">
      <c r="A419" s="2" t="inlineStr">
        <is>
          <t xml:space="preserve">robot</t>
        </is>
      </c>
      <c r="B419" s="2" t="inlineStr">
        <is>
          <t xml:space="preserve">NOI - National round</t>
        </is>
      </c>
      <c r="C419" s="8" t="inlineStr">
        <is>
          <t xml:space="preserve">D</t>
        </is>
      </c>
      <c r="D419" s="8">
        <v>2025</v>
      </c>
      <c r="E419" s="7">
        <v>5</v>
      </c>
      <c r="F419" s="2" t="inlineStr">
        <is>
          <t xml:space="preserve">Very hard</t>
        </is>
      </c>
      <c r="G419" s="2" t="inlineStr">
        <is>
          <t xml:space="preserve">Graph traversal (BFS/DFS)</t>
        </is>
      </c>
      <c r="H419" s="2" t="inlineStr">
        <is>
          <t xml:space="preserve">Grid/Matrix</t>
        </is>
      </c>
      <c r="I419" s="2" t="inlineStr">
        <is>
          <t xml:space="preserve">2D arrays, Grid/Matrix, Vectors</t>
        </is>
      </c>
      <c r="J419" s="2" t="inlineStr">
        <is>
          <t xml:space="preserve">No U-turns means every passage must lie on a cycle: test biconnectivity of the maze</t>
        </is>
      </c>
      <c r="K419" s="2" t="inlineStr">
        <is>
          <t xml:space="preserve"/>
        </is>
      </c>
      <c r="L419" s="9" t="str">
        <f>HYPERLINK("https://arena.olimpiici.com/#/catalog/870/problem/102351","open problem")</f>
        <v>open problem</v>
      </c>
    </row>
    <row r="420">
      <c r="A420" s="2" t="inlineStr">
        <is>
          <t xml:space="preserve">primes</t>
        </is>
      </c>
      <c r="B420" s="2" t="inlineStr">
        <is>
          <t xml:space="preserve">NOI - National round</t>
        </is>
      </c>
      <c r="C420" s="8" t="inlineStr">
        <is>
          <t xml:space="preserve">D</t>
        </is>
      </c>
      <c r="D420" s="8">
        <v>2025</v>
      </c>
      <c r="E420" s="4">
        <v>2</v>
      </c>
      <c r="F420" s="2" t="inlineStr">
        <is>
          <t xml:space="preserve">Easy</t>
        </is>
      </c>
      <c r="G420" s="2" t="inlineStr">
        <is>
          <t xml:space="preserve">Number theory</t>
        </is>
      </c>
      <c r="H420" s="2" t="inlineStr">
        <is>
          <t xml:space="preserve">Prefix sums</t>
        </is>
      </c>
      <c r="I420" s="2" t="inlineStr">
        <is>
          <t xml:space="preserve">Arrays, Prefix sums, Loops</t>
        </is>
      </c>
      <c r="J420" s="2" t="inlineStr">
        <is>
          <t xml:space="preserve">Sieve primes, prefix-count pi(x), then mark x where pi(x) is itself prime</t>
        </is>
      </c>
      <c r="K420" s="2" t="inlineStr">
        <is>
          <t xml:space="preserve"/>
        </is>
      </c>
      <c r="L420" s="9" t="str">
        <f>HYPERLINK("https://arena.olimpiici.com/#/catalog/870/problem/102352","open problem")</f>
        <v>open problem</v>
      </c>
    </row>
    <row r="421">
      <c r="A421" s="2" t="inlineStr">
        <is>
          <t xml:space="preserve">boxing</t>
        </is>
      </c>
      <c r="B421" s="2" t="inlineStr">
        <is>
          <t xml:space="preserve">NOI - National round</t>
        </is>
      </c>
      <c r="C421" s="8" t="inlineStr">
        <is>
          <t xml:space="preserve">D</t>
        </is>
      </c>
      <c r="D421" s="8">
        <v>2025</v>
      </c>
      <c r="E421" s="7">
        <v>5</v>
      </c>
      <c r="F421" s="2" t="inlineStr">
        <is>
          <t xml:space="preserve">Very hard</t>
        </is>
      </c>
      <c r="G421" s="2" t="inlineStr">
        <is>
          <t xml:space="preserve">Prefix sums</t>
        </is>
      </c>
      <c r="H421" s="2" t="inlineStr">
        <is>
          <t xml:space="preserve">Two pointers / Sliding window</t>
        </is>
      </c>
      <c r="I421" s="2" t="inlineStr">
        <is>
          <t xml:space="preserve">Prefix sums, Long long, Two pointers</t>
        </is>
      </c>
      <c r="J421" s="2" t="inlineStr">
        <is>
          <t xml:space="preserve">Best split of each subarray is near its midpoint; sweep 10^7 generated values</t>
        </is>
      </c>
      <c r="K421" s="2" t="inlineStr">
        <is>
          <t xml:space="preserve">Метод на показалките / 2-pointers</t>
        </is>
      </c>
      <c r="L421" s="9" t="str">
        <f>HYPERLINK("https://arena.olimpiici.com/#/catalog/870/problem/102353","open problem")</f>
        <v>open problem</v>
      </c>
    </row>
    <row r="422">
      <c r="A422" s="2" t="inlineStr">
        <is>
          <t xml:space="preserve">frac</t>
        </is>
      </c>
      <c r="B422" s="2" t="inlineStr">
        <is>
          <t xml:space="preserve">NOI - National round</t>
        </is>
      </c>
      <c r="C422" s="8" t="inlineStr">
        <is>
          <t xml:space="preserve">D</t>
        </is>
      </c>
      <c r="D422" s="8">
        <v>2026</v>
      </c>
      <c r="E422" s="5">
        <v>3</v>
      </c>
      <c r="F422" s="2" t="inlineStr">
        <is>
          <t xml:space="preserve">Medium</t>
        </is>
      </c>
      <c r="G422" s="2" t="inlineStr">
        <is>
          <t xml:space="preserve">Number theory</t>
        </is>
      </c>
      <c r="H422" s="2" t="inlineStr">
        <is>
          <t xml:space="preserve">Math / Formula</t>
        </is>
      </c>
      <c r="I422" s="2" t="inlineStr">
        <is>
          <t xml:space="preserve">Math, Long long, Arrays</t>
        </is>
      </c>
      <c r="J422" s="2" t="inlineStr">
        <is>
          <t xml:space="preserve">p = lcm of denominators, q = gcd of numerators, then reduce the fraction</t>
        </is>
      </c>
      <c r="K422" s="2" t="inlineStr">
        <is>
          <t xml:space="preserve">Математика / Дроби</t>
        </is>
      </c>
      <c r="L422" s="9" t="str">
        <f>HYPERLINK("https://arena.olimpiici.com/#/catalog/934/problem/102632","open problem")</f>
        <v>open problem</v>
      </c>
    </row>
    <row r="423">
      <c r="A423" s="2" t="inlineStr">
        <is>
          <t xml:space="preserve">great</t>
        </is>
      </c>
      <c r="B423" s="2" t="inlineStr">
        <is>
          <t xml:space="preserve">NOI - National round</t>
        </is>
      </c>
      <c r="C423" s="8" t="inlineStr">
        <is>
          <t xml:space="preserve">D</t>
        </is>
      </c>
      <c r="D423" s="8">
        <v>2026</v>
      </c>
      <c r="E423" s="6">
        <v>4</v>
      </c>
      <c r="F423" s="2" t="inlineStr">
        <is>
          <t xml:space="preserve">Hard</t>
        </is>
      </c>
      <c r="G423" s="2" t="inlineStr">
        <is>
          <t xml:space="preserve">String processing</t>
        </is>
      </c>
      <c r="H423" s="2" t="inlineStr">
        <is>
          <t xml:space="preserve">Big numbers</t>
        </is>
      </c>
      <c r="I423" s="2" t="inlineStr">
        <is>
          <t xml:space="preserve">Strings, Big integers, Math</t>
        </is>
      </c>
      <c r="J423" s="2" t="inlineStr">
        <is>
          <t xml:space="preserve">Try split positions where the digit counts fit and verify with big-number multiplication</t>
        </is>
      </c>
      <c r="K423" s="2" t="inlineStr">
        <is>
          <t xml:space="preserve">Basic / Низове (string)</t>
        </is>
      </c>
      <c r="L423" s="9" t="str">
        <f>HYPERLINK("https://arena.olimpiici.com/#/catalog/934/problem/102633","open problem")</f>
        <v>open problem</v>
      </c>
    </row>
    <row r="424">
      <c r="A424" s="2" t="inlineStr">
        <is>
          <t xml:space="preserve">pairs</t>
        </is>
      </c>
      <c r="B424" s="2" t="inlineStr">
        <is>
          <t xml:space="preserve">NOI - National round</t>
        </is>
      </c>
      <c r="C424" s="8" t="inlineStr">
        <is>
          <t xml:space="preserve">D</t>
        </is>
      </c>
      <c r="D424" s="8">
        <v>2026</v>
      </c>
      <c r="E424" s="6">
        <v>4</v>
      </c>
      <c r="F424" s="2" t="inlineStr">
        <is>
          <t xml:space="preserve">Hard</t>
        </is>
      </c>
      <c r="G424" s="2" t="inlineStr">
        <is>
          <t xml:space="preserve">Number theory</t>
        </is>
      </c>
      <c r="H424" s="2" t="inlineStr">
        <is>
          <t xml:space="preserve">Greedy</t>
        </is>
      </c>
      <c r="I424" s="2" t="inlineStr">
        <is>
          <t xml:space="preserve">Long long, Math, Loops</t>
        </is>
      </c>
      <c r="J424" s="2" t="inlineStr">
        <is>
          <t xml:space="preserve">Run the Euclidean algorithm backwards from (c,d), summing the quotients as steps</t>
        </is>
      </c>
      <c r="K424" s="2" t="inlineStr">
        <is>
          <t xml:space="preserve">Математика / НОД - Алгоритъм на Евклид</t>
        </is>
      </c>
      <c r="L424" s="9" t="str">
        <f>HYPERLINK("https://arena.olimpiici.com/#/catalog/934/problem/102634","open problem")</f>
        <v>open problem</v>
      </c>
    </row>
    <row r="425">
      <c r="A425" s="2" t="inlineStr">
        <is>
          <t xml:space="preserve">segments</t>
        </is>
      </c>
      <c r="B425" s="2" t="inlineStr">
        <is>
          <t xml:space="preserve">NOI - National round</t>
        </is>
      </c>
      <c r="C425" s="8" t="inlineStr">
        <is>
          <t xml:space="preserve">D</t>
        </is>
      </c>
      <c r="D425" s="8">
        <v>2026</v>
      </c>
      <c r="E425" s="4">
        <v>2</v>
      </c>
      <c r="F425" s="2" t="inlineStr">
        <is>
          <t xml:space="preserve">Easy</t>
        </is>
      </c>
      <c r="G425" s="2" t="inlineStr">
        <is>
          <t xml:space="preserve">Math / Formula</t>
        </is>
      </c>
      <c r="H425" s="2" t="inlineStr">
        <is>
          <t xml:space="preserve">Prefix sums</t>
        </is>
      </c>
      <c r="I425" s="2" t="inlineStr">
        <is>
          <t xml:space="preserve">Long long, Math, Arrays</t>
        </is>
      </c>
      <c r="J425" s="2" t="inlineStr">
        <is>
          <t xml:space="preserve">Each a_i appears in i*(n-i+1) subarrays; weigh and sum</t>
        </is>
      </c>
      <c r="K425" s="2" t="inlineStr">
        <is>
          <t xml:space="preserve">Комбинаторика</t>
        </is>
      </c>
      <c r="L425" s="9" t="str">
        <f>HYPERLINK("https://arena.olimpiici.com/#/catalog/934/problem/102635","open problem")</f>
        <v>open problem</v>
      </c>
    </row>
    <row r="426">
      <c r="A426" s="2" t="inlineStr">
        <is>
          <t xml:space="preserve">divs</t>
        </is>
      </c>
      <c r="B426" s="2" t="inlineStr">
        <is>
          <t xml:space="preserve">NOI - National round</t>
        </is>
      </c>
      <c r="C426" s="8" t="inlineStr">
        <is>
          <t xml:space="preserve">D</t>
        </is>
      </c>
      <c r="D426" s="8">
        <v>2026</v>
      </c>
      <c r="E426" s="5">
        <v>3</v>
      </c>
      <c r="F426" s="2" t="inlineStr">
        <is>
          <t xml:space="preserve">Medium</t>
        </is>
      </c>
      <c r="G426" s="2" t="inlineStr">
        <is>
          <t xml:space="preserve">Number theory</t>
        </is>
      </c>
      <c r="H426" s="2" t="inlineStr">
        <is>
          <t xml:space="preserve">Counting / Frequency arrays</t>
        </is>
      </c>
      <c r="I426" s="2" t="inlineStr">
        <is>
          <t xml:space="preserve">Arrays, Loops, Math</t>
        </is>
      </c>
      <c r="J426" s="2" t="inlineStr">
        <is>
          <t xml:space="preserve">Unitary divisors number 2^omega(n): sieve the count of distinct prime factors</t>
        </is>
      </c>
      <c r="K426" s="2" t="inlineStr">
        <is>
          <t xml:space="preserve">Математика / Решето на Ератостен; Комбинаторика</t>
        </is>
      </c>
      <c r="L426" s="9" t="str">
        <f>HYPERLINK("https://arena.olimpiici.com/#/catalog/934/problem/102636","open problem")</f>
        <v>open problem</v>
      </c>
    </row>
    <row r="427">
      <c r="A427" s="2" t="inlineStr">
        <is>
          <t xml:space="preserve">cak</t>
        </is>
      </c>
      <c r="B427" s="2" t="inlineStr">
        <is>
          <t xml:space="preserve">NOI - National round</t>
        </is>
      </c>
      <c r="C427" s="8" t="inlineStr">
        <is>
          <t xml:space="preserve">D</t>
        </is>
      </c>
      <c r="D427" s="8">
        <v>2026</v>
      </c>
      <c r="E427" s="7">
        <v>5</v>
      </c>
      <c r="F427" s="2" t="inlineStr">
        <is>
          <t xml:space="preserve">Very hard</t>
        </is>
      </c>
      <c r="G427" s="2" t="inlineStr">
        <is>
          <t xml:space="preserve">Big numbers</t>
        </is>
      </c>
      <c r="H427" s="2" t="inlineStr">
        <is>
          <t xml:space="preserve">Number theory</t>
        </is>
      </c>
      <c r="I427" s="2" t="inlineStr">
        <is>
          <t xml:space="preserve">Big integers, Strings, Math</t>
        </is>
      </c>
      <c r="J427" s="2" t="inlineStr">
        <is>
          <t xml:space="preserve">Count digits 5/7 up to a 5000-digit N, plus Legendre exponents of 5 and 7 in N!</t>
        </is>
      </c>
      <c r="K427" s="2" t="inlineStr">
        <is>
          <t xml:space="preserve">Комбинаторика; Дълги числа (Big numbers)</t>
        </is>
      </c>
      <c r="L427" s="9" t="str">
        <f>HYPERLINK("https://arena.olimpiici.com/#/catalog/934/problem/102637","open problem")</f>
        <v>open problem</v>
      </c>
    </row>
    <row r="428">
      <c r="A428" s="2" t="inlineStr">
        <is>
          <t xml:space="preserve">twop</t>
        </is>
      </c>
      <c r="B428" s="2" t="inlineStr">
        <is>
          <t xml:space="preserve">NOI - Regional round</t>
        </is>
      </c>
      <c r="C428" s="8" t="inlineStr">
        <is>
          <t xml:space="preserve">C</t>
        </is>
      </c>
      <c r="D428" s="8">
        <v>2009</v>
      </c>
      <c r="E428" s="5">
        <v>3</v>
      </c>
      <c r="F428" s="2" t="inlineStr">
        <is>
          <t xml:space="preserve">Medium</t>
        </is>
      </c>
      <c r="G428" s="2" t="inlineStr">
        <is>
          <t xml:space="preserve">Number theory</t>
        </is>
      </c>
      <c r="H428" s="2" t="inlineStr">
        <is>
          <t xml:space="preserve">Two pointers / Sliding window</t>
        </is>
      </c>
      <c r="I428" s="2" t="inlineStr">
        <is>
          <t xml:space="preserve">Arrays, Loops, Counting array</t>
        </is>
      </c>
      <c r="J428" s="2" t="inlineStr">
        <is>
          <t xml:space="preserve">Sieve primes to 5*10^6, then count Goldbach pairs for each given number</t>
        </is>
      </c>
      <c r="K428" s="2" t="inlineStr">
        <is>
          <t xml:space="preserve">Математика / Решето на Ератостен; Метод на показалките / 2-pointers; Математика / Прости числа</t>
        </is>
      </c>
      <c r="L428" s="9" t="str">
        <f>HYPERLINK("https://arena.olimpiici.com/#/catalog/151/problem/100355","open problem")</f>
        <v>open problem</v>
      </c>
    </row>
    <row r="429">
      <c r="A429" s="2" t="inlineStr">
        <is>
          <t xml:space="preserve">shortage</t>
        </is>
      </c>
      <c r="B429" s="2" t="inlineStr">
        <is>
          <t xml:space="preserve">NOI - Regional round</t>
        </is>
      </c>
      <c r="C429" s="8" t="inlineStr">
        <is>
          <t xml:space="preserve">C</t>
        </is>
      </c>
      <c r="D429" s="8">
        <v>2009</v>
      </c>
      <c r="E429" s="6">
        <v>4</v>
      </c>
      <c r="F429" s="2" t="inlineStr">
        <is>
          <t xml:space="preserve">Hard</t>
        </is>
      </c>
      <c r="G429" s="2" t="inlineStr">
        <is>
          <t xml:space="preserve">String processing</t>
        </is>
      </c>
      <c r="H429" s="2" t="inlineStr">
        <is>
          <t xml:space="preserve">Hashing / Maps</t>
        </is>
      </c>
      <c r="I429" s="2" t="inlineStr">
        <is>
          <t xml:space="preserve">Strings, Arrays, Prefix sums</t>
        </is>
      </c>
      <c r="J429" s="2" t="inlineStr">
        <is>
          <t xml:space="preserve">Longest palindromic suffix via KMP on reverse(s)+#+s gives the letters to append</t>
        </is>
      </c>
      <c r="K429" s="2" t="inlineStr">
        <is>
          <t xml:space="preserve">Палиндроми; Advanced / Rabin Karp (hashing); Advanced / Хеширане (hashing)</t>
        </is>
      </c>
      <c r="L429" s="9" t="str">
        <f>HYPERLINK("https://arena.olimpiici.com/#/catalog/151/problem/100356","open problem")</f>
        <v>open problem</v>
      </c>
    </row>
    <row r="430">
      <c r="A430" s="2" t="inlineStr">
        <is>
          <t xml:space="preserve">diag</t>
        </is>
      </c>
      <c r="B430" s="2" t="inlineStr">
        <is>
          <t xml:space="preserve">NOI - Regional round</t>
        </is>
      </c>
      <c r="C430" s="8" t="inlineStr">
        <is>
          <t xml:space="preserve">C</t>
        </is>
      </c>
      <c r="D430" s="8">
        <v>2009</v>
      </c>
      <c r="E430" s="5">
        <v>3</v>
      </c>
      <c r="F430" s="2" t="inlineStr">
        <is>
          <t xml:space="preserve">Medium</t>
        </is>
      </c>
      <c r="G430" s="2" t="inlineStr">
        <is>
          <t xml:space="preserve">Grid/Matrix</t>
        </is>
      </c>
      <c r="H430" s="2" t="inlineStr">
        <is>
          <t xml:space="preserve">Sorting</t>
        </is>
      </c>
      <c r="I430" s="2" t="inlineStr">
        <is>
          <t xml:space="preserve">2D arrays, Sorting, Grid/Matrix</t>
        </is>
      </c>
      <c r="J430" s="2" t="inlineStr">
        <is>
          <t xml:space="preserve">Number cells along anti-diagonals, then find the latest one above the p-th percentile</t>
        </is>
      </c>
      <c r="K430" s="2" t="inlineStr">
        <is>
          <t xml:space="preserve">Двумерни и многомерни масиви</t>
        </is>
      </c>
      <c r="L430" s="9" t="str">
        <f>HYPERLINK("https://arena.olimpiici.com/#/catalog/151/problem/100357","open problem")</f>
        <v>open problem</v>
      </c>
    </row>
    <row r="431">
      <c r="A431" s="2" t="inlineStr">
        <is>
          <t xml:space="preserve">num</t>
        </is>
      </c>
      <c r="B431" s="2" t="inlineStr">
        <is>
          <t xml:space="preserve">NOI - Regional round</t>
        </is>
      </c>
      <c r="C431" s="8" t="inlineStr">
        <is>
          <t xml:space="preserve">C</t>
        </is>
      </c>
      <c r="D431" s="8">
        <v>2010</v>
      </c>
      <c r="E431" s="3">
        <v>1</v>
      </c>
      <c r="F431" s="2" t="inlineStr">
        <is>
          <t xml:space="preserve">Very easy</t>
        </is>
      </c>
      <c r="G431" s="2" t="inlineStr">
        <is>
          <t xml:space="preserve">Brute force</t>
        </is>
      </c>
      <c r="H431" s="2" t="inlineStr">
        <is>
          <t xml:space="preserve">Counting / Frequency arrays</t>
        </is>
      </c>
      <c r="I431" s="2" t="inlineStr">
        <is>
          <t xml:space="preserve">Loops, Math, Counting array</t>
        </is>
      </c>
      <c r="J431" s="2" t="inlineStr">
        <is>
          <t xml:space="preserve">Loop over the short range and test each number for repeated digits</t>
        </is>
      </c>
      <c r="K431" s="2" t="inlineStr">
        <is>
          <t xml:space="preserve">Математика / Отделяне на цифри от число</t>
        </is>
      </c>
      <c r="L431" s="9" t="str">
        <f>HYPERLINK("https://arena.olimpiici.com/#/catalog/157/problem/100370","open problem")</f>
        <v>open problem</v>
      </c>
    </row>
    <row r="432">
      <c r="A432" s="2" t="inlineStr">
        <is>
          <t xml:space="preserve">box</t>
        </is>
      </c>
      <c r="B432" s="2" t="inlineStr">
        <is>
          <t xml:space="preserve">NOI - Regional round</t>
        </is>
      </c>
      <c r="C432" s="8" t="inlineStr">
        <is>
          <t xml:space="preserve">C</t>
        </is>
      </c>
      <c r="D432" s="8">
        <v>2010</v>
      </c>
      <c r="E432" s="5">
        <v>3</v>
      </c>
      <c r="F432" s="2" t="inlineStr">
        <is>
          <t xml:space="preserve">Medium</t>
        </is>
      </c>
      <c r="G432" s="2" t="inlineStr">
        <is>
          <t xml:space="preserve">Sorting</t>
        </is>
      </c>
      <c r="H432" s="2" t="inlineStr">
        <is>
          <t xml:space="preserve">Brute force</t>
        </is>
      </c>
      <c r="I432" s="2" t="inlineStr">
        <is>
          <t xml:space="preserve">Sorting, Structs, Math</t>
        </is>
      </c>
      <c r="J432" s="2" t="inlineStr">
        <is>
          <t xml:space="preserve">Six plates form a box iff they pair up as three matching face sizes</t>
        </is>
      </c>
      <c r="K432" s="2" t="inlineStr">
        <is>
          <t xml:space="preserve">Сортиране (sorting); Сложна имплементация</t>
        </is>
      </c>
      <c r="L432" s="9" t="str">
        <f>HYPERLINK("https://arena.olimpiici.com/#/catalog/157/problem/100371","open problem")</f>
        <v>open problem</v>
      </c>
    </row>
    <row r="433">
      <c r="A433" s="2" t="inlineStr">
        <is>
          <t xml:space="preserve">rod</t>
        </is>
      </c>
      <c r="B433" s="2" t="inlineStr">
        <is>
          <t xml:space="preserve">NOI - Regional round</t>
        </is>
      </c>
      <c r="C433" s="8" t="inlineStr">
        <is>
          <t xml:space="preserve">C</t>
        </is>
      </c>
      <c r="D433" s="8">
        <v>2010</v>
      </c>
      <c r="E433" s="6">
        <v>4</v>
      </c>
      <c r="F433" s="2" t="inlineStr">
        <is>
          <t xml:space="preserve">Hard</t>
        </is>
      </c>
      <c r="G433" s="2" t="inlineStr">
        <is>
          <t xml:space="preserve">Dynamic programming</t>
        </is>
      </c>
      <c r="H433" s="2" t="inlineStr">
        <is>
          <t xml:space="preserve">Prefix sums</t>
        </is>
      </c>
      <c r="I433" s="2" t="inlineStr">
        <is>
          <t xml:space="preserve">2D arrays, Prefix sums, Arrays</t>
        </is>
      </c>
      <c r="J433" s="2" t="inlineStr">
        <is>
          <t xml:space="preserve">Interval DP over cut positions, cost is the weight of the piece being lifted</t>
        </is>
      </c>
      <c r="K433" s="2" t="inlineStr">
        <is>
          <t xml:space="preserve">Динамично програмиране (Dynamic programming)</t>
        </is>
      </c>
      <c r="L433" s="9" t="str">
        <f>HYPERLINK("https://arena.olimpiici.com/#/catalog/157/problem/100372","open problem")</f>
        <v>open problem</v>
      </c>
    </row>
    <row r="434">
      <c r="A434" s="2" t="inlineStr">
        <is>
          <t xml:space="preserve">roses</t>
        </is>
      </c>
      <c r="B434" s="2" t="inlineStr">
        <is>
          <t xml:space="preserve">NOI - Regional round</t>
        </is>
      </c>
      <c r="C434" s="8" t="inlineStr">
        <is>
          <t xml:space="preserve">C</t>
        </is>
      </c>
      <c r="D434" s="8">
        <v>2011</v>
      </c>
      <c r="E434" s="5">
        <v>3</v>
      </c>
      <c r="F434" s="2" t="inlineStr">
        <is>
          <t xml:space="preserve">Medium</t>
        </is>
      </c>
      <c r="G434" s="2" t="inlineStr">
        <is>
          <t xml:space="preserve">Prefix sums</t>
        </is>
      </c>
      <c r="H434" s="2" t="inlineStr">
        <is>
          <t xml:space="preserve">Grid/Matrix</t>
        </is>
      </c>
      <c r="I434" s="2" t="inlineStr">
        <is>
          <t xml:space="preserve">2D arrays, Prefix sums, Grid/Matrix</t>
        </is>
      </c>
      <c r="J434" s="2" t="inlineStr">
        <is>
          <t xml:space="preserve">2D prefix sums to find the KxK window with the most roses</t>
        </is>
      </c>
      <c r="K434" s="2" t="inlineStr">
        <is>
          <t xml:space="preserve">Двумерни и многомерни масиви; Префиксни суми (prefix array)</t>
        </is>
      </c>
      <c r="L434" s="9" t="str">
        <f>HYPERLINK("https://arena.olimpiici.com/#/catalog/163/problem/100385","open problem")</f>
        <v>open problem</v>
      </c>
    </row>
    <row r="435">
      <c r="A435" s="2" t="inlineStr">
        <is>
          <t xml:space="preserve">barrels</t>
        </is>
      </c>
      <c r="B435" s="2" t="inlineStr">
        <is>
          <t xml:space="preserve">NOI - Regional round</t>
        </is>
      </c>
      <c r="C435" s="8" t="inlineStr">
        <is>
          <t xml:space="preserve">C</t>
        </is>
      </c>
      <c r="D435" s="8">
        <v>2011</v>
      </c>
      <c r="E435" s="6">
        <v>4</v>
      </c>
      <c r="F435" s="2" t="inlineStr">
        <is>
          <t xml:space="preserve">Hard</t>
        </is>
      </c>
      <c r="G435" s="2" t="inlineStr">
        <is>
          <t xml:space="preserve">Greedy</t>
        </is>
      </c>
      <c r="H435" s="2" t="inlineStr">
        <is>
          <t xml:space="preserve">Recursion / Backtracking</t>
        </is>
      </c>
      <c r="I435" s="2" t="inlineStr">
        <is>
          <t xml:space="preserve">Sorting, Recursion, Long long</t>
        </is>
      </c>
      <c r="J435" s="2" t="inlineStr">
        <is>
          <t xml:space="preserve">Greedy largest-barrel-first with backtracking, since the capacities are arbitrary</t>
        </is>
      </c>
      <c r="K435" s="2" t="inlineStr">
        <is>
          <t xml:space="preserve">Търсене с връщане (backtracking); Евристика</t>
        </is>
      </c>
      <c r="L435" s="9" t="str">
        <f>HYPERLINK("https://arena.olimpiici.com/#/catalog/163/problem/100386","open problem")</f>
        <v>open problem</v>
      </c>
    </row>
    <row r="436">
      <c r="A436" s="2" t="inlineStr">
        <is>
          <t xml:space="preserve">robot</t>
        </is>
      </c>
      <c r="B436" s="2" t="inlineStr">
        <is>
          <t xml:space="preserve">NOI - Regional round</t>
        </is>
      </c>
      <c r="C436" s="8" t="inlineStr">
        <is>
          <t xml:space="preserve">C</t>
        </is>
      </c>
      <c r="D436" s="8">
        <v>2011</v>
      </c>
      <c r="E436" s="5">
        <v>3</v>
      </c>
      <c r="F436" s="2" t="inlineStr">
        <is>
          <t xml:space="preserve">Medium</t>
        </is>
      </c>
      <c r="G436" s="2" t="inlineStr">
        <is>
          <t xml:space="preserve">Grid/Matrix</t>
        </is>
      </c>
      <c r="H436" s="2" t="inlineStr">
        <is>
          <t xml:space="preserve">Math / Formula</t>
        </is>
      </c>
      <c r="I436" s="2" t="inlineStr">
        <is>
          <t xml:space="preserve">2D arrays, Grid/Matrix, Long long</t>
        </is>
      </c>
      <c r="J436" s="2" t="inlineStr">
        <is>
          <t xml:space="preserve">Cells at Manhattan distance &lt;= k with matching parity form a diamond; sum them</t>
        </is>
      </c>
      <c r="K436" s="2" t="inlineStr">
        <is>
          <t xml:space="preserve">Двумерни и многомерни масиви; Математика</t>
        </is>
      </c>
      <c r="L436" s="9" t="str">
        <f>HYPERLINK("https://arena.olimpiici.com/#/catalog/163/problem/100387","open problem")</f>
        <v>open problem</v>
      </c>
    </row>
    <row r="437">
      <c r="A437" s="2" t="inlineStr">
        <is>
          <t xml:space="preserve">dynasty</t>
        </is>
      </c>
      <c r="B437" s="2" t="inlineStr">
        <is>
          <t xml:space="preserve">NOI - Regional round</t>
        </is>
      </c>
      <c r="C437" s="8" t="inlineStr">
        <is>
          <t xml:space="preserve">C</t>
        </is>
      </c>
      <c r="D437" s="8">
        <v>2012</v>
      </c>
      <c r="E437" s="6">
        <v>4</v>
      </c>
      <c r="F437" s="2" t="inlineStr">
        <is>
          <t xml:space="preserve">Hard</t>
        </is>
      </c>
      <c r="G437" s="2" t="inlineStr">
        <is>
          <t xml:space="preserve">Trees</t>
        </is>
      </c>
      <c r="H437" s="2" t="inlineStr">
        <is>
          <t xml:space="preserve">Hashing / Maps</t>
        </is>
      </c>
      <c r="I437" s="2" t="inlineStr">
        <is>
          <t xml:space="preserve">Maps, Recursion, Strings</t>
        </is>
      </c>
      <c r="J437" s="2" t="inlineStr">
        <is>
          <t xml:space="preserve">Build the father-son forest with a map, detect conflicts, then find the deepest chain</t>
        </is>
      </c>
      <c r="K437" s="2" t="inlineStr">
        <is>
          <t xml:space="preserve">Графи / Дървета; Графи / Търсене в дълбочина (DFS); STL / Map</t>
        </is>
      </c>
      <c r="L437" s="9" t="str">
        <f>HYPERLINK("https://arena.olimpiici.com/#/catalog/169/problem/100400","open problem")</f>
        <v>open problem</v>
      </c>
    </row>
    <row r="438">
      <c r="A438" s="2" t="inlineStr">
        <is>
          <t xml:space="preserve">sums</t>
        </is>
      </c>
      <c r="B438" s="2" t="inlineStr">
        <is>
          <t xml:space="preserve">NOI - Regional round</t>
        </is>
      </c>
      <c r="C438" s="8" t="inlineStr">
        <is>
          <t xml:space="preserve">C</t>
        </is>
      </c>
      <c r="D438" s="8">
        <v>2012</v>
      </c>
      <c r="E438" s="5">
        <v>3</v>
      </c>
      <c r="F438" s="2" t="inlineStr">
        <is>
          <t xml:space="preserve">Medium</t>
        </is>
      </c>
      <c r="G438" s="2" t="inlineStr">
        <is>
          <t xml:space="preserve">Dynamic programming</t>
        </is>
      </c>
      <c r="H438" s="2" t="inlineStr">
        <is>
          <t xml:space="preserve">Bit manipulation</t>
        </is>
      </c>
      <c r="I438" s="2" t="inlineStr">
        <is>
          <t xml:space="preserve">Bitmask, Arrays, Counting array</t>
        </is>
      </c>
      <c r="J438" s="2" t="inlineStr">
        <is>
          <t xml:space="preserve">Subset-sum reachability bitset, then count reachable values inside [a,b]</t>
        </is>
      </c>
      <c r="K438" s="2" t="inlineStr">
        <is>
          <t xml:space="preserve">Динамично програмиране (Dynamic programming)</t>
        </is>
      </c>
      <c r="L438" s="9" t="str">
        <f>HYPERLINK("https://arena.olimpiici.com/#/catalog/169/problem/100401","open problem")</f>
        <v>open problem</v>
      </c>
    </row>
    <row r="439">
      <c r="A439" s="2" t="inlineStr">
        <is>
          <t xml:space="preserve">fractions</t>
        </is>
      </c>
      <c r="B439" s="2" t="inlineStr">
        <is>
          <t xml:space="preserve">NOI - Regional round</t>
        </is>
      </c>
      <c r="C439" s="8" t="inlineStr">
        <is>
          <t xml:space="preserve">C</t>
        </is>
      </c>
      <c r="D439" s="8">
        <v>2012</v>
      </c>
      <c r="E439" s="5">
        <v>3</v>
      </c>
      <c r="F439" s="2" t="inlineStr">
        <is>
          <t xml:space="preserve">Medium</t>
        </is>
      </c>
      <c r="G439" s="2" t="inlineStr">
        <is>
          <t xml:space="preserve">Math / Formula</t>
        </is>
      </c>
      <c r="H439" s="2" t="inlineStr">
        <is>
          <t xml:space="preserve">Number theory</t>
        </is>
      </c>
      <c r="I439" s="2" t="inlineStr">
        <is>
          <t xml:space="preserve">Long long, Math, Big integers</t>
        </is>
      </c>
      <c r="J439" s="2" t="inlineStr">
        <is>
          <t xml:space="preserve">Add harmonic fractions with a common denominator, reducing by gcd each step</t>
        </is>
      </c>
      <c r="K439" s="2" t="inlineStr">
        <is>
          <t xml:space="preserve">Математика / Дроби; Математика / НОД - Алгоритъм на Евклид</t>
        </is>
      </c>
      <c r="L439" s="9" t="str">
        <f>HYPERLINK("https://arena.olimpiici.com/#/catalog/169/problem/100402","open problem")</f>
        <v>open problem</v>
      </c>
    </row>
    <row r="440">
      <c r="A440" s="2" t="inlineStr">
        <is>
          <t xml:space="preserve">no112C</t>
        </is>
      </c>
      <c r="B440" s="2" t="inlineStr">
        <is>
          <t xml:space="preserve">NOI - Regional round</t>
        </is>
      </c>
      <c r="C440" s="8" t="inlineStr">
        <is>
          <t xml:space="preserve">C</t>
        </is>
      </c>
      <c r="D440" s="8">
        <v>2013</v>
      </c>
      <c r="E440" s="4">
        <v>2</v>
      </c>
      <c r="F440" s="2" t="inlineStr">
        <is>
          <t xml:space="preserve">Easy</t>
        </is>
      </c>
      <c r="G440" s="2" t="inlineStr">
        <is>
          <t xml:space="preserve">Graph traversal (BFS/DFS)</t>
        </is>
      </c>
      <c r="H440" s="2" t="inlineStr">
        <is>
          <t xml:space="preserve">Data structures</t>
        </is>
      </c>
      <c r="I440" s="2" t="inlineStr">
        <is>
          <t xml:space="preserve">Vectors, Queues, Arrays</t>
        </is>
      </c>
      <c r="J440" s="2" t="inlineStr">
        <is>
          <t xml:space="preserve">Label connected components once, then every query is a component comparison</t>
        </is>
      </c>
      <c r="K440" s="2" t="inlineStr">
        <is>
          <t xml:space="preserve">Графи; Графи / Търсене в ширина (BFS); Графи / Търсене в дълбочина (DFS); Предварителна обработка (precomputing)</t>
        </is>
      </c>
      <c r="L440" s="9" t="str">
        <f>HYPERLINK("https://arena.olimpiici.com/#/catalog/175/problem/100415","open problem")</f>
        <v>open problem</v>
      </c>
    </row>
    <row r="441">
      <c r="A441" s="2" t="inlineStr">
        <is>
          <t xml:space="preserve">viruses</t>
        </is>
      </c>
      <c r="B441" s="2" t="inlineStr">
        <is>
          <t xml:space="preserve">NOI - Regional round</t>
        </is>
      </c>
      <c r="C441" s="8" t="inlineStr">
        <is>
          <t xml:space="preserve">C</t>
        </is>
      </c>
      <c r="D441" s="8">
        <v>2013</v>
      </c>
      <c r="E441" s="5">
        <v>3</v>
      </c>
      <c r="F441" s="2" t="inlineStr">
        <is>
          <t xml:space="preserve">Medium</t>
        </is>
      </c>
      <c r="G441" s="2" t="inlineStr">
        <is>
          <t xml:space="preserve">Graph traversal (BFS/DFS)</t>
        </is>
      </c>
      <c r="H441" s="2" t="inlineStr">
        <is>
          <t xml:space="preserve">Grid/Matrix</t>
        </is>
      </c>
      <c r="I441" s="2" t="inlineStr">
        <is>
          <t xml:space="preserve">Queues, 2D arrays, Grid/Matrix</t>
        </is>
      </c>
      <c r="J441" s="2" t="inlineStr">
        <is>
          <t xml:space="preserve">Multi-source BFS from all initial viruses; the answer is the largest distance</t>
        </is>
      </c>
      <c r="K441" s="2" t="inlineStr">
        <is>
          <t xml:space="preserve">Графи / Търсене в ширина (BFS); Графи; Двумерни и многомерни масиви</t>
        </is>
      </c>
      <c r="L441" s="9" t="str">
        <f>HYPERLINK("https://arena.olimpiici.com/#/catalog/175/problem/100416","open problem")</f>
        <v>open problem</v>
      </c>
    </row>
    <row r="442">
      <c r="A442" s="2" t="inlineStr">
        <is>
          <t xml:space="preserve">words</t>
        </is>
      </c>
      <c r="B442" s="2" t="inlineStr">
        <is>
          <t xml:space="preserve">NOI - Regional round</t>
        </is>
      </c>
      <c r="C442" s="8" t="inlineStr">
        <is>
          <t xml:space="preserve">C</t>
        </is>
      </c>
      <c r="D442" s="8">
        <v>2013</v>
      </c>
      <c r="E442" s="5">
        <v>3</v>
      </c>
      <c r="F442" s="2" t="inlineStr">
        <is>
          <t xml:space="preserve">Medium</t>
        </is>
      </c>
      <c r="G442" s="2" t="inlineStr">
        <is>
          <t xml:space="preserve">Prefix sums</t>
        </is>
      </c>
      <c r="H442" s="2" t="inlineStr">
        <is>
          <t xml:space="preserve">String processing</t>
        </is>
      </c>
      <c r="I442" s="2" t="inlineStr">
        <is>
          <t xml:space="preserve">Prefix sums, Strings, Arrays</t>
        </is>
      </c>
      <c r="J442" s="2" t="inlineStr">
        <is>
          <t xml:space="preserve">A word starts where the letter increases; prefix-count those breakpoints per query</t>
        </is>
      </c>
      <c r="K442" s="2" t="inlineStr">
        <is>
          <t xml:space="preserve">Basic / Низове (string); Предварителна обработка (precomputing); Префиксни суми (prefix array)</t>
        </is>
      </c>
      <c r="L442" s="9" t="str">
        <f>HYPERLINK("https://arena.olimpiici.com/#/catalog/175/problem/100417","open problem")</f>
        <v>open problem</v>
      </c>
    </row>
    <row r="443">
      <c r="A443" s="2" t="inlineStr">
        <is>
          <t xml:space="preserve">seq</t>
        </is>
      </c>
      <c r="B443" s="2" t="inlineStr">
        <is>
          <t xml:space="preserve">NOI - Regional round</t>
        </is>
      </c>
      <c r="C443" s="8" t="inlineStr">
        <is>
          <t xml:space="preserve">C</t>
        </is>
      </c>
      <c r="D443" s="8">
        <v>2014</v>
      </c>
      <c r="E443" s="5">
        <v>3</v>
      </c>
      <c r="F443" s="2" t="inlineStr">
        <is>
          <t xml:space="preserve">Medium</t>
        </is>
      </c>
      <c r="G443" s="2" t="inlineStr">
        <is>
          <t xml:space="preserve">Dynamic programming</t>
        </is>
      </c>
      <c r="H443" s="2" t="inlineStr">
        <is>
          <t xml:space="preserve">Greedy</t>
        </is>
      </c>
      <c r="I443" s="2" t="inlineStr">
        <is>
          <t xml:space="preserve">Arrays, Long long, Loops</t>
        </is>
      </c>
      <c r="J443" s="2" t="inlineStr">
        <is>
          <t xml:space="preserve">DP over (index, was previous multiplied by 3) maximising the total</t>
        </is>
      </c>
      <c r="K443" s="2" t="inlineStr">
        <is>
          <t xml:space="preserve">Динамично програмиране (Dynamic programming)</t>
        </is>
      </c>
      <c r="L443" s="9" t="str">
        <f>HYPERLINK("https://arena.olimpiici.com/#/catalog/181/problem/100430","open problem")</f>
        <v>open problem</v>
      </c>
    </row>
    <row r="444">
      <c r="A444" s="2" t="inlineStr">
        <is>
          <t xml:space="preserve">viruses</t>
        </is>
      </c>
      <c r="B444" s="2" t="inlineStr">
        <is>
          <t xml:space="preserve">NOI - Regional round</t>
        </is>
      </c>
      <c r="C444" s="8" t="inlineStr">
        <is>
          <t xml:space="preserve">C</t>
        </is>
      </c>
      <c r="D444" s="8">
        <v>2014</v>
      </c>
      <c r="E444" s="5">
        <v>3</v>
      </c>
      <c r="F444" s="2" t="inlineStr">
        <is>
          <t xml:space="preserve">Medium</t>
        </is>
      </c>
      <c r="G444" s="2" t="inlineStr">
        <is>
          <t xml:space="preserve">Flood fill</t>
        </is>
      </c>
      <c r="H444" s="2" t="inlineStr">
        <is>
          <t xml:space="preserve">Graph traversal (BFS/DFS)</t>
        </is>
      </c>
      <c r="I444" s="2" t="inlineStr">
        <is>
          <t xml:space="preserve">2D arrays, Queues, Grid/Matrix</t>
        </is>
      </c>
      <c r="J444" s="2" t="inlineStr">
        <is>
          <t xml:space="preserve">One virus per connected component of unprotected cells</t>
        </is>
      </c>
      <c r="K444" s="2" t="inlineStr">
        <is>
          <t xml:space="preserve">Графи; Графи / Търсене в ширина (BFS); Графи / Търсене в дълбочина (DFS); Двумерни и многомерни масиви</t>
        </is>
      </c>
      <c r="L444" s="9" t="str">
        <f>HYPERLINK("https://arena.olimpiici.com/#/catalog/181/problem/100431","open problem")</f>
        <v>open problem</v>
      </c>
    </row>
    <row r="445">
      <c r="A445" s="2" t="inlineStr">
        <is>
          <t xml:space="preserve">message</t>
        </is>
      </c>
      <c r="B445" s="2" t="inlineStr">
        <is>
          <t xml:space="preserve">NOI - Regional round</t>
        </is>
      </c>
      <c r="C445" s="8" t="inlineStr">
        <is>
          <t xml:space="preserve">C</t>
        </is>
      </c>
      <c r="D445" s="8">
        <v>2014</v>
      </c>
      <c r="E445" s="6">
        <v>4</v>
      </c>
      <c r="F445" s="2" t="inlineStr">
        <is>
          <t xml:space="preserve">Hard</t>
        </is>
      </c>
      <c r="G445" s="2" t="inlineStr">
        <is>
          <t xml:space="preserve">Data structures</t>
        </is>
      </c>
      <c r="H445" s="2" t="inlineStr">
        <is>
          <t xml:space="preserve">String processing</t>
        </is>
      </c>
      <c r="I445" s="2" t="inlineStr">
        <is>
          <t xml:space="preserve">Stacks, Strings, Chars</t>
        </is>
      </c>
      <c r="J445" s="2" t="inlineStr">
        <is>
          <t xml:space="preserve">Stack pass cancels equal pairs; odd runs collapse to a single letter</t>
        </is>
      </c>
      <c r="K445" s="2" t="inlineStr">
        <is>
          <t xml:space="preserve">STL / Стек (stack)</t>
        </is>
      </c>
      <c r="L445" s="9" t="str">
        <f>HYPERLINK("https://arena.olimpiici.com/#/catalog/181/problem/100432","open problem")</f>
        <v>open problem</v>
      </c>
    </row>
    <row r="446">
      <c r="A446" s="2" t="inlineStr">
        <is>
          <t xml:space="preserve">divide</t>
        </is>
      </c>
      <c r="B446" s="2" t="inlineStr">
        <is>
          <t xml:space="preserve">NOI - Regional round</t>
        </is>
      </c>
      <c r="C446" s="8" t="inlineStr">
        <is>
          <t xml:space="preserve">C</t>
        </is>
      </c>
      <c r="D446" s="8">
        <v>2015</v>
      </c>
      <c r="E446" s="5">
        <v>3</v>
      </c>
      <c r="F446" s="2" t="inlineStr">
        <is>
          <t xml:space="preserve">Medium</t>
        </is>
      </c>
      <c r="G446" s="2" t="inlineStr">
        <is>
          <t xml:space="preserve">Bit manipulation</t>
        </is>
      </c>
      <c r="H446" s="2" t="inlineStr">
        <is>
          <t xml:space="preserve">Number theory</t>
        </is>
      </c>
      <c r="I446" s="2" t="inlineStr">
        <is>
          <t xml:space="preserve">Bitmask, Long long, Math</t>
        </is>
      </c>
      <c r="J446" s="2" t="inlineStr">
        <is>
          <t xml:space="preserve">Splitting halves the pieces: the answer follows from the binary digits of a and b</t>
        </is>
      </c>
      <c r="K446" s="2" t="inlineStr">
        <is>
          <t xml:space="preserve">Математика / Бройни системи</t>
        </is>
      </c>
      <c r="L446" s="9" t="str">
        <f>HYPERLINK("https://arena.olimpiici.com/#/catalog/187/problem/100445","open problem")</f>
        <v>open problem</v>
      </c>
    </row>
    <row r="447">
      <c r="A447" s="2" t="inlineStr">
        <is>
          <t xml:space="preserve">packing</t>
        </is>
      </c>
      <c r="B447" s="2" t="inlineStr">
        <is>
          <t xml:space="preserve">NOI - Regional round</t>
        </is>
      </c>
      <c r="C447" s="8" t="inlineStr">
        <is>
          <t xml:space="preserve">C</t>
        </is>
      </c>
      <c r="D447" s="8">
        <v>2015</v>
      </c>
      <c r="E447" s="5">
        <v>3</v>
      </c>
      <c r="F447" s="2" t="inlineStr">
        <is>
          <t xml:space="preserve">Medium</t>
        </is>
      </c>
      <c r="G447" s="2" t="inlineStr">
        <is>
          <t xml:space="preserve">String processing</t>
        </is>
      </c>
      <c r="H447" s="2" t="inlineStr">
        <is>
          <t xml:space="preserve">Greedy</t>
        </is>
      </c>
      <c r="I447" s="2" t="inlineStr">
        <is>
          <t xml:space="preserve">Strings, Loops, Chars</t>
        </is>
      </c>
      <c r="J447" s="2" t="inlineStr">
        <is>
          <t xml:space="preserve">Append each word after its longest overlap with the current result</t>
        </is>
      </c>
      <c r="K447" s="2" t="inlineStr">
        <is>
          <t xml:space="preserve">Basic / Низове (string)</t>
        </is>
      </c>
      <c r="L447" s="9" t="str">
        <f>HYPERLINK("https://arena.olimpiici.com/#/catalog/187/problem/100446","open problem")</f>
        <v>open problem</v>
      </c>
    </row>
    <row r="448">
      <c r="A448" s="2" t="inlineStr">
        <is>
          <t xml:space="preserve">game</t>
        </is>
      </c>
      <c r="B448" s="2" t="inlineStr">
        <is>
          <t xml:space="preserve">NOI - Regional round</t>
        </is>
      </c>
      <c r="C448" s="8" t="inlineStr">
        <is>
          <t xml:space="preserve">C</t>
        </is>
      </c>
      <c r="D448" s="8">
        <v>2015</v>
      </c>
      <c r="E448" s="5">
        <v>3</v>
      </c>
      <c r="F448" s="2" t="inlineStr">
        <is>
          <t xml:space="preserve">Medium</t>
        </is>
      </c>
      <c r="G448" s="2" t="inlineStr">
        <is>
          <t xml:space="preserve">Shortest path</t>
        </is>
      </c>
      <c r="H448" s="2" t="inlineStr">
        <is>
          <t xml:space="preserve">Graph traversal (BFS/DFS)</t>
        </is>
      </c>
      <c r="I448" s="2" t="inlineStr">
        <is>
          <t xml:space="preserve">Priority queue, Vectors, Structs</t>
        </is>
      </c>
      <c r="J448" s="2" t="inlineStr">
        <is>
          <t xml:space="preserve">Maximising points equals a shortest path with edge weight (time - points)</t>
        </is>
      </c>
      <c r="K448" s="2" t="inlineStr">
        <is>
          <t xml:space="preserve">Графи; Графи / Дейкстра (Dijkstra)</t>
        </is>
      </c>
      <c r="L448" s="9" t="str">
        <f>HYPERLINK("https://arena.olimpiici.com/#/catalog/187/problem/100447","open problem")</f>
        <v>open problem</v>
      </c>
    </row>
    <row r="449">
      <c r="A449" s="2" t="inlineStr">
        <is>
          <t xml:space="preserve">virus</t>
        </is>
      </c>
      <c r="B449" s="2" t="inlineStr">
        <is>
          <t xml:space="preserve">NOI - Regional round</t>
        </is>
      </c>
      <c r="C449" s="8" t="inlineStr">
        <is>
          <t xml:space="preserve">C</t>
        </is>
      </c>
      <c r="D449" s="8">
        <v>2016</v>
      </c>
      <c r="E449" s="5">
        <v>3</v>
      </c>
      <c r="F449" s="2" t="inlineStr">
        <is>
          <t xml:space="preserve">Medium</t>
        </is>
      </c>
      <c r="G449" s="2" t="inlineStr">
        <is>
          <t xml:space="preserve">Bit manipulation</t>
        </is>
      </c>
      <c r="H449" s="2" t="inlineStr">
        <is>
          <t xml:space="preserve">Combinatorics</t>
        </is>
      </c>
      <c r="I449" s="2" t="inlineStr">
        <is>
          <t xml:space="preserve">Bitmask, Long long, Vectors</t>
        </is>
      </c>
      <c r="J449" s="2" t="inlineStr">
        <is>
          <t xml:space="preserve">Binary encoding: box i holds every sample whose i-th bit is set, ceil(log2 N) boxes</t>
        </is>
      </c>
      <c r="K449" s="2" t="inlineStr">
        <is>
          <t xml:space="preserve">Комбинаторни конфигурации и преброяване</t>
        </is>
      </c>
      <c r="L449" s="9" t="str">
        <f>HYPERLINK("https://arena.olimpiici.com/#/catalog/193/problem/100460","open problem")</f>
        <v>open problem</v>
      </c>
    </row>
    <row r="450">
      <c r="A450" s="2" t="inlineStr">
        <is>
          <t xml:space="preserve">sequences</t>
        </is>
      </c>
      <c r="B450" s="2" t="inlineStr">
        <is>
          <t xml:space="preserve">NOI - Regional round</t>
        </is>
      </c>
      <c r="C450" s="8" t="inlineStr">
        <is>
          <t xml:space="preserve">C</t>
        </is>
      </c>
      <c r="D450" s="8">
        <v>2016</v>
      </c>
      <c r="E450" s="5">
        <v>3</v>
      </c>
      <c r="F450" s="2" t="inlineStr">
        <is>
          <t xml:space="preserve">Medium</t>
        </is>
      </c>
      <c r="G450" s="2" t="inlineStr">
        <is>
          <t xml:space="preserve">Dynamic programming</t>
        </is>
      </c>
      <c r="H450" s="2" t="inlineStr">
        <is>
          <t xml:space="preserve">Combinatorics</t>
        </is>
      </c>
      <c r="I450" s="2" t="inlineStr">
        <is>
          <t xml:space="preserve">2D arrays, Long long, Loops</t>
        </is>
      </c>
      <c r="J450" s="2" t="inlineStr">
        <is>
          <t xml:space="preserve">DP over (position, running sum) with each term bounded by p</t>
        </is>
      </c>
      <c r="K450" s="2" t="inlineStr">
        <is>
          <t xml:space="preserve">Динамично програмиране (Dynamic programming)</t>
        </is>
      </c>
      <c r="L450" s="9" t="str">
        <f>HYPERLINK("https://arena.olimpiici.com/#/catalog/193/problem/100461","open problem")</f>
        <v>open problem</v>
      </c>
    </row>
    <row r="451">
      <c r="A451" s="2" t="inlineStr">
        <is>
          <t xml:space="preserve">cnet</t>
        </is>
      </c>
      <c r="B451" s="2" t="inlineStr">
        <is>
          <t xml:space="preserve">NOI - Regional round</t>
        </is>
      </c>
      <c r="C451" s="8" t="inlineStr">
        <is>
          <t xml:space="preserve">C</t>
        </is>
      </c>
      <c r="D451" s="8">
        <v>2016</v>
      </c>
      <c r="E451" s="6">
        <v>4</v>
      </c>
      <c r="F451" s="2" t="inlineStr">
        <is>
          <t xml:space="preserve">Hard</t>
        </is>
      </c>
      <c r="G451" s="2" t="inlineStr">
        <is>
          <t xml:space="preserve">Graph traversal (BFS/DFS)</t>
        </is>
      </c>
      <c r="H451" s="2" t="inlineStr">
        <is>
          <t xml:space="preserve">Brute force</t>
        </is>
      </c>
      <c r="I451" s="2" t="inlineStr">
        <is>
          <t xml:space="preserve">Vectors, Queues, Arrays</t>
        </is>
      </c>
      <c r="J451" s="2" t="inlineStr">
        <is>
          <t xml:space="preserve">BFS from each candidate vertex and keep those reaching everyone in minimum time</t>
        </is>
      </c>
      <c r="K451" s="2" t="inlineStr">
        <is>
          <t xml:space="preserve">Графи; Графи / Търсене в ширина (BFS); Насочен граф</t>
        </is>
      </c>
      <c r="L451" s="9" t="str">
        <f>HYPERLINK("https://arena.olimpiici.com/#/catalog/193/problem/100462","open problem")</f>
        <v>open problem</v>
      </c>
    </row>
    <row r="452">
      <c r="A452" s="2" t="inlineStr">
        <is>
          <t xml:space="preserve">subsums</t>
        </is>
      </c>
      <c r="B452" s="2" t="inlineStr">
        <is>
          <t xml:space="preserve">NOI - Regional round</t>
        </is>
      </c>
      <c r="C452" s="8" t="inlineStr">
        <is>
          <t xml:space="preserve">C</t>
        </is>
      </c>
      <c r="D452" s="8">
        <v>2017</v>
      </c>
      <c r="E452" s="5">
        <v>3</v>
      </c>
      <c r="F452" s="2" t="inlineStr">
        <is>
          <t xml:space="preserve">Medium</t>
        </is>
      </c>
      <c r="G452" s="2" t="inlineStr">
        <is>
          <t xml:space="preserve">Prefix sums</t>
        </is>
      </c>
      <c r="H452" s="2" t="inlineStr">
        <is>
          <t xml:space="preserve">Hashing / Maps</t>
        </is>
      </c>
      <c r="I452" s="2" t="inlineStr">
        <is>
          <t xml:space="preserve">Sets, Prefix sums, Long long</t>
        </is>
      </c>
      <c r="J452" s="2" t="inlineStr">
        <is>
          <t xml:space="preserve">All subarray sums come from prefix differences; count the distinct values</t>
        </is>
      </c>
      <c r="K452" s="2" t="inlineStr">
        <is>
          <t xml:space="preserve">Динамично програмиране (Dynamic programming)</t>
        </is>
      </c>
      <c r="L452" s="9" t="str">
        <f>HYPERLINK("https://arena.olimpiici.com/#/catalog/199/problem/100475","open problem")</f>
        <v>open problem</v>
      </c>
    </row>
    <row r="453">
      <c r="A453" s="2" t="inlineStr">
        <is>
          <t xml:space="preserve">color</t>
        </is>
      </c>
      <c r="B453" s="2" t="inlineStr">
        <is>
          <t xml:space="preserve">NOI - Regional round</t>
        </is>
      </c>
      <c r="C453" s="8" t="inlineStr">
        <is>
          <t xml:space="preserve">C</t>
        </is>
      </c>
      <c r="D453" s="8">
        <v>2017</v>
      </c>
      <c r="E453" s="6">
        <v>4</v>
      </c>
      <c r="F453" s="2" t="inlineStr">
        <is>
          <t xml:space="preserve">Hard</t>
        </is>
      </c>
      <c r="G453" s="2" t="inlineStr">
        <is>
          <t xml:space="preserve">Graph traversal (BFS/DFS)</t>
        </is>
      </c>
      <c r="H453" s="2" t="inlineStr">
        <is>
          <t xml:space="preserve">Greedy</t>
        </is>
      </c>
      <c r="I453" s="2" t="inlineStr">
        <is>
          <t xml:space="preserve">Vectors, Arrays, Loops</t>
        </is>
      </c>
      <c r="J453" s="2" t="inlineStr">
        <is>
          <t xml:space="preserve">Functional graph: colours needed are the max degree, with odd cycles needing three</t>
        </is>
      </c>
      <c r="K453" s="2" t="inlineStr">
        <is>
          <t xml:space="preserve">Графи; Графи / Търсене в дълбочина (DFS); Цикли в граф</t>
        </is>
      </c>
      <c r="L453" s="9" t="str">
        <f>HYPERLINK("https://arena.olimpiici.com/#/catalog/199/problem/100476","open problem")</f>
        <v>open problem</v>
      </c>
    </row>
    <row r="454">
      <c r="A454" s="2" t="inlineStr">
        <is>
          <t xml:space="preserve">traffic</t>
        </is>
      </c>
      <c r="B454" s="2" t="inlineStr">
        <is>
          <t xml:space="preserve">NOI - Regional round</t>
        </is>
      </c>
      <c r="C454" s="8" t="inlineStr">
        <is>
          <t xml:space="preserve">C</t>
        </is>
      </c>
      <c r="D454" s="8">
        <v>2017</v>
      </c>
      <c r="E454" s="5">
        <v>3</v>
      </c>
      <c r="F454" s="2" t="inlineStr">
        <is>
          <t xml:space="preserve">Medium</t>
        </is>
      </c>
      <c r="G454" s="2" t="inlineStr">
        <is>
          <t xml:space="preserve">Shortest path</t>
        </is>
      </c>
      <c r="H454" s="2" t="inlineStr">
        <is>
          <t xml:space="preserve">Grid/Matrix</t>
        </is>
      </c>
      <c r="I454" s="2" t="inlineStr">
        <is>
          <t xml:space="preserve">Priority queue, 2D arrays, Grid/Matrix</t>
        </is>
      </c>
      <c r="J454" s="2" t="inlineStr">
        <is>
          <t xml:space="preserve">Dijkstra over the grid with per-cell travel times, exiting at any border cell</t>
        </is>
      </c>
      <c r="K454" s="2" t="inlineStr">
        <is>
          <t xml:space="preserve">Графи; Графи / Дейкстра (Dijkstra); Двумерни и многомерни масиви</t>
        </is>
      </c>
      <c r="L454" s="9" t="str">
        <f>HYPERLINK("https://arena.olimpiici.com/#/catalog/199/problem/100477","open problem")</f>
        <v>open problem</v>
      </c>
    </row>
    <row r="455">
      <c r="A455" s="2" t="inlineStr">
        <is>
          <t xml:space="preserve">maze</t>
        </is>
      </c>
      <c r="B455" s="2" t="inlineStr">
        <is>
          <t xml:space="preserve">NOI - Regional round</t>
        </is>
      </c>
      <c r="C455" s="8" t="inlineStr">
        <is>
          <t xml:space="preserve">C</t>
        </is>
      </c>
      <c r="D455" s="8">
        <v>2018</v>
      </c>
      <c r="E455" s="5">
        <v>3</v>
      </c>
      <c r="F455" s="2" t="inlineStr">
        <is>
          <t xml:space="preserve">Medium</t>
        </is>
      </c>
      <c r="G455" s="2" t="inlineStr">
        <is>
          <t xml:space="preserve">Graph traversal (BFS/DFS)</t>
        </is>
      </c>
      <c r="H455" s="2" t="inlineStr">
        <is>
          <t xml:space="preserve">Grid/Matrix</t>
        </is>
      </c>
      <c r="I455" s="2" t="inlineStr">
        <is>
          <t xml:space="preserve">Queues, 2D arrays, Grid/Matrix</t>
        </is>
      </c>
      <c r="J455" s="2" t="inlineStr">
        <is>
          <t xml:space="preserve">BFS on states (cell, bomb still available) with the extra cost of blasting a wall</t>
        </is>
      </c>
      <c r="K455" s="2" t="inlineStr">
        <is>
          <t xml:space="preserve">Графи; Графи / Търсене в ширина (BFS); Двумерни и многомерни масиви</t>
        </is>
      </c>
      <c r="L455" s="9" t="str">
        <f>HYPERLINK("https://arena.olimpiici.com/#/catalog/205/problem/100490","open problem")</f>
        <v>open problem</v>
      </c>
    </row>
    <row r="456">
      <c r="A456" s="2" t="inlineStr">
        <is>
          <t xml:space="preserve">palindrome</t>
        </is>
      </c>
      <c r="B456" s="2" t="inlineStr">
        <is>
          <t xml:space="preserve">NOI - Regional round</t>
        </is>
      </c>
      <c r="C456" s="8" t="inlineStr">
        <is>
          <t xml:space="preserve">C</t>
        </is>
      </c>
      <c r="D456" s="8">
        <v>2018</v>
      </c>
      <c r="E456" s="6">
        <v>4</v>
      </c>
      <c r="F456" s="2" t="inlineStr">
        <is>
          <t xml:space="preserve">Hard</t>
        </is>
      </c>
      <c r="G456" s="2" t="inlineStr">
        <is>
          <t xml:space="preserve">Constructive</t>
        </is>
      </c>
      <c r="H456" s="2" t="inlineStr">
        <is>
          <t xml:space="preserve">String processing</t>
        </is>
      </c>
      <c r="I456" s="2" t="inlineStr">
        <is>
          <t xml:space="preserve">Strings, Chars, Big integers</t>
        </is>
      </c>
      <c r="J456" s="2" t="inlineStr">
        <is>
          <t xml:space="preserve">Mirror the first half, and if that is not larger, increment the middle and carry</t>
        </is>
      </c>
      <c r="K456" s="2" t="inlineStr">
        <is>
          <t xml:space="preserve">Комбинаторни конфигурации и преброяване; Палиндроми</t>
        </is>
      </c>
      <c r="L456" s="9" t="str">
        <f>HYPERLINK("https://arena.olimpiici.com/#/catalog/205/problem/100491","open problem")</f>
        <v>open problem</v>
      </c>
    </row>
    <row r="457">
      <c r="A457" s="2" t="inlineStr">
        <is>
          <t xml:space="preserve">growingbaby</t>
        </is>
      </c>
      <c r="B457" s="2" t="inlineStr">
        <is>
          <t xml:space="preserve">NOI - Regional round</t>
        </is>
      </c>
      <c r="C457" s="8" t="inlineStr">
        <is>
          <t xml:space="preserve">C</t>
        </is>
      </c>
      <c r="D457" s="8">
        <v>2018</v>
      </c>
      <c r="E457" s="5">
        <v>3</v>
      </c>
      <c r="F457" s="2" t="inlineStr">
        <is>
          <t xml:space="preserve">Medium</t>
        </is>
      </c>
      <c r="G457" s="2" t="inlineStr">
        <is>
          <t xml:space="preserve">Dynamic programming</t>
        </is>
      </c>
      <c r="H457" s="2" t="inlineStr">
        <is>
          <t xml:space="preserve">Counting / Frequency arrays</t>
        </is>
      </c>
      <c r="I457" s="2" t="inlineStr">
        <is>
          <t xml:space="preserve">Arrays, Modular arithmetic, Loops</t>
        </is>
      </c>
      <c r="J457" s="2" t="inlineStr">
        <is>
          <t xml:space="preserve">DP over current weight counting feed/no-diaper choices until N grams</t>
        </is>
      </c>
      <c r="K457" s="2" t="inlineStr">
        <is>
          <t xml:space="preserve"/>
        </is>
      </c>
      <c r="L457" s="9" t="str">
        <f>HYPERLINK("https://arena.olimpiici.com/#/catalog/205/problem/100492","open problem")</f>
        <v>open problem</v>
      </c>
    </row>
    <row r="458">
      <c r="A458" s="2" t="inlineStr">
        <is>
          <t xml:space="preserve">power</t>
        </is>
      </c>
      <c r="B458" s="2" t="inlineStr">
        <is>
          <t xml:space="preserve">NOI - Regional round</t>
        </is>
      </c>
      <c r="C458" s="8" t="inlineStr">
        <is>
          <t xml:space="preserve">C</t>
        </is>
      </c>
      <c r="D458" s="8">
        <v>2019</v>
      </c>
      <c r="E458" s="5">
        <v>3</v>
      </c>
      <c r="F458" s="2" t="inlineStr">
        <is>
          <t xml:space="preserve">Medium</t>
        </is>
      </c>
      <c r="G458" s="2" t="inlineStr">
        <is>
          <t xml:space="preserve">Number theory</t>
        </is>
      </c>
      <c r="H458" s="2" t="inlineStr">
        <is>
          <t xml:space="preserve">Math / Formula</t>
        </is>
      </c>
      <c r="I458" s="2" t="inlineStr">
        <is>
          <t xml:space="preserve">Counting array, Math, Long long</t>
        </is>
      </c>
      <c r="J458" s="2" t="inlineStr">
        <is>
          <t xml:space="preserve">Take the max exponent of each prime, round up to a multiple of k, rebuild c</t>
        </is>
      </c>
      <c r="K458" s="2" t="inlineStr">
        <is>
          <t xml:space="preserve">Математика / Делимост; Математика / Прости числа</t>
        </is>
      </c>
      <c r="L458" s="9" t="str">
        <f>HYPERLINK("https://arena.olimpiici.com/#/catalog/400/problem/101091","open problem")</f>
        <v>open problem</v>
      </c>
    </row>
    <row r="459">
      <c r="A459" s="2" t="inlineStr">
        <is>
          <t xml:space="preserve">m3</t>
        </is>
      </c>
      <c r="B459" s="2" t="inlineStr">
        <is>
          <t xml:space="preserve">NOI - Regional round</t>
        </is>
      </c>
      <c r="C459" s="8" t="inlineStr">
        <is>
          <t xml:space="preserve">C</t>
        </is>
      </c>
      <c r="D459" s="8">
        <v>2019</v>
      </c>
      <c r="E459" s="6">
        <v>4</v>
      </c>
      <c r="F459" s="2" t="inlineStr">
        <is>
          <t xml:space="preserve">Hard</t>
        </is>
      </c>
      <c r="G459" s="2" t="inlineStr">
        <is>
          <t xml:space="preserve">Math / Formula</t>
        </is>
      </c>
      <c r="H459" s="2" t="inlineStr">
        <is>
          <t xml:space="preserve">Implementation / Simulation</t>
        </is>
      </c>
      <c r="I459" s="2" t="inlineStr">
        <is>
          <t xml:space="preserve">Math, Long long, Arrays</t>
        </is>
      </c>
      <c r="J459" s="2" t="inlineStr">
        <is>
          <t xml:space="preserve">Water fills sector compartments in height order; compute the last partially filled sector</t>
        </is>
      </c>
      <c r="K459" s="2" t="inlineStr">
        <is>
          <t xml:space="preserve"/>
        </is>
      </c>
      <c r="L459" s="9" t="str">
        <f>HYPERLINK("https://arena.olimpiici.com/#/catalog/400/problem/101092","open problem")</f>
        <v>open problem</v>
      </c>
    </row>
    <row r="460">
      <c r="A460" s="2" t="inlineStr">
        <is>
          <t xml:space="preserve">alt</t>
        </is>
      </c>
      <c r="B460" s="2" t="inlineStr">
        <is>
          <t xml:space="preserve">NOI - Regional round</t>
        </is>
      </c>
      <c r="C460" s="8" t="inlineStr">
        <is>
          <t xml:space="preserve">C</t>
        </is>
      </c>
      <c r="D460" s="8">
        <v>2019</v>
      </c>
      <c r="E460" s="5">
        <v>3</v>
      </c>
      <c r="F460" s="2" t="inlineStr">
        <is>
          <t xml:space="preserve">Medium</t>
        </is>
      </c>
      <c r="G460" s="2" t="inlineStr">
        <is>
          <t xml:space="preserve">Dynamic programming</t>
        </is>
      </c>
      <c r="H460" s="2" t="inlineStr">
        <is>
          <t xml:space="preserve">Counting / Frequency arrays</t>
        </is>
      </c>
      <c r="I460" s="2" t="inlineStr">
        <is>
          <t xml:space="preserve">2D arrays, Arrays, Long long</t>
        </is>
      </c>
      <c r="J460" s="2" t="inlineStr">
        <is>
          <t xml:space="preserve">DP over (position, current value) with +k/-k transitions bounded by m</t>
        </is>
      </c>
      <c r="K460" s="2" t="inlineStr">
        <is>
          <t xml:space="preserve">Динамично програмиране (Dynamic programming)</t>
        </is>
      </c>
      <c r="L460" s="9" t="str">
        <f>HYPERLINK("https://arena.olimpiici.com/#/catalog/400/problem/101093","open problem")</f>
        <v>open problem</v>
      </c>
    </row>
    <row r="461">
      <c r="A461" s="2" t="inlineStr">
        <is>
          <t xml:space="preserve">strip</t>
        </is>
      </c>
      <c r="B461" s="2" t="inlineStr">
        <is>
          <t xml:space="preserve">NOI - Regional round</t>
        </is>
      </c>
      <c r="C461" s="8" t="inlineStr">
        <is>
          <t xml:space="preserve">C</t>
        </is>
      </c>
      <c r="D461" s="8">
        <v>2020</v>
      </c>
      <c r="E461" s="5">
        <v>3</v>
      </c>
      <c r="F461" s="2" t="inlineStr">
        <is>
          <t xml:space="preserve">Medium</t>
        </is>
      </c>
      <c r="G461" s="2" t="inlineStr">
        <is>
          <t xml:space="preserve">Combinatorics</t>
        </is>
      </c>
      <c r="H461" s="2" t="inlineStr">
        <is>
          <t xml:space="preserve">Big numbers</t>
        </is>
      </c>
      <c r="I461" s="2" t="inlineStr">
        <is>
          <t xml:space="preserve">Big integers, Math, Arrays</t>
        </is>
      </c>
      <c r="J461" s="2" t="inlineStr">
        <is>
          <t xml:space="preserve">Each step chooses left or right: the count is a binomial coefficient</t>
        </is>
      </c>
      <c r="K461" s="2" t="inlineStr">
        <is>
          <t xml:space="preserve"/>
        </is>
      </c>
      <c r="L461" s="9" t="str">
        <f>HYPERLINK("https://arena.olimpiici.com/#/catalog/477/problem/101297","open problem")</f>
        <v>open problem</v>
      </c>
    </row>
    <row r="462">
      <c r="A462" s="2" t="inlineStr">
        <is>
          <t xml:space="preserve">range</t>
        </is>
      </c>
      <c r="B462" s="2" t="inlineStr">
        <is>
          <t xml:space="preserve">NOI - Regional round</t>
        </is>
      </c>
      <c r="C462" s="8" t="inlineStr">
        <is>
          <t xml:space="preserve">C</t>
        </is>
      </c>
      <c r="D462" s="8">
        <v>2020</v>
      </c>
      <c r="E462" s="4">
        <v>2</v>
      </c>
      <c r="F462" s="2" t="inlineStr">
        <is>
          <t xml:space="preserve">Easy</t>
        </is>
      </c>
      <c r="G462" s="2" t="inlineStr">
        <is>
          <t xml:space="preserve">Counting / Frequency arrays</t>
        </is>
      </c>
      <c r="H462" s="2" t="inlineStr">
        <is>
          <t xml:space="preserve">Prefix sums</t>
        </is>
      </c>
      <c r="I462" s="2" t="inlineStr">
        <is>
          <t xml:space="preserve">Counting array, Prefix sums, Arrays</t>
        </is>
      </c>
      <c r="J462" s="2" t="inlineStr">
        <is>
          <t xml:space="preserve">Bucket the values once, prefix-sum the buckets, answer each query in O(1)</t>
        </is>
      </c>
      <c r="K462" s="2" t="inlineStr">
        <is>
          <t xml:space="preserve"/>
        </is>
      </c>
      <c r="L462" s="9" t="str">
        <f>HYPERLINK("https://arena.olimpiici.com/#/catalog/477/problem/101298","open problem")</f>
        <v>open problem</v>
      </c>
    </row>
    <row r="463">
      <c r="A463" s="2" t="inlineStr">
        <is>
          <t xml:space="preserve">congruence</t>
        </is>
      </c>
      <c r="B463" s="2" t="inlineStr">
        <is>
          <t xml:space="preserve">NOI - Regional round</t>
        </is>
      </c>
      <c r="C463" s="8" t="inlineStr">
        <is>
          <t xml:space="preserve">C</t>
        </is>
      </c>
      <c r="D463" s="8">
        <v>2020</v>
      </c>
      <c r="E463" s="5">
        <v>3</v>
      </c>
      <c r="F463" s="2" t="inlineStr">
        <is>
          <t xml:space="preserve">Medium</t>
        </is>
      </c>
      <c r="G463" s="2" t="inlineStr">
        <is>
          <t xml:space="preserve">Sorting</t>
        </is>
      </c>
      <c r="H463" s="2" t="inlineStr">
        <is>
          <t xml:space="preserve">String processing</t>
        </is>
      </c>
      <c r="I463" s="2" t="inlineStr">
        <is>
          <t xml:space="preserve">Strings, Sorting, Counting array</t>
        </is>
      </c>
      <c r="J463" s="2" t="inlineStr">
        <is>
          <t xml:space="preserve">Rank the distinct letters; map ranks to A.. for the smallest and down from Z for the largest</t>
        </is>
      </c>
      <c r="K463" s="2" t="inlineStr">
        <is>
          <t xml:space="preserve"/>
        </is>
      </c>
      <c r="L463" s="9" t="str">
        <f>HYPERLINK("https://arena.olimpiici.com/#/catalog/477/problem/101299","open problem")</f>
        <v>open problem</v>
      </c>
    </row>
    <row r="464">
      <c r="A464" s="2" t="inlineStr">
        <is>
          <t xml:space="preserve">long</t>
        </is>
      </c>
      <c r="B464" s="2" t="inlineStr">
        <is>
          <t xml:space="preserve">NOI - Regional round</t>
        </is>
      </c>
      <c r="C464" s="8" t="inlineStr">
        <is>
          <t xml:space="preserve">C</t>
        </is>
      </c>
      <c r="D464" s="8">
        <v>2021</v>
      </c>
      <c r="E464" s="6">
        <v>4</v>
      </c>
      <c r="F464" s="2" t="inlineStr">
        <is>
          <t xml:space="preserve">Hard</t>
        </is>
      </c>
      <c r="G464" s="2" t="inlineStr">
        <is>
          <t xml:space="preserve">Two pointers / Sliding window</t>
        </is>
      </c>
      <c r="H464" s="2" t="inlineStr">
        <is>
          <t xml:space="preserve">Data structures</t>
        </is>
      </c>
      <c r="I464" s="2" t="inlineStr">
        <is>
          <t xml:space="preserve">Deque, Strings, Memory optimization</t>
        </is>
      </c>
      <c r="J464" s="2" t="inlineStr">
        <is>
          <t xml:space="preserve">Sliding-window minimum with a deque over 20 million characters, then longest equal run</t>
        </is>
      </c>
      <c r="K464" s="2" t="inlineStr">
        <is>
          <t xml:space="preserve"/>
        </is>
      </c>
      <c r="L464" s="9" t="str">
        <f>HYPERLINK("https://arena.olimpiici.com/#/catalog/560/problem/101379","open problem")</f>
        <v>open problem</v>
      </c>
    </row>
    <row r="465">
      <c r="A465" s="2" t="inlineStr">
        <is>
          <t xml:space="preserve">robo</t>
        </is>
      </c>
      <c r="B465" s="2" t="inlineStr">
        <is>
          <t xml:space="preserve">NOI - Regional round</t>
        </is>
      </c>
      <c r="C465" s="8" t="inlineStr">
        <is>
          <t xml:space="preserve">C</t>
        </is>
      </c>
      <c r="D465" s="8">
        <v>2021</v>
      </c>
      <c r="E465" s="6">
        <v>4</v>
      </c>
      <c r="F465" s="2" t="inlineStr">
        <is>
          <t xml:space="preserve">Hard</t>
        </is>
      </c>
      <c r="G465" s="2" t="inlineStr">
        <is>
          <t xml:space="preserve">Binary search</t>
        </is>
      </c>
      <c r="H465" s="2" t="inlineStr">
        <is>
          <t xml:space="preserve">Greedy</t>
        </is>
      </c>
      <c r="I465" s="2" t="inlineStr">
        <is>
          <t xml:space="preserve">Arrays, Long long, Loops</t>
        </is>
      </c>
      <c r="J465" s="2" t="inlineStr">
        <is>
          <t xml:space="preserve">Binary search the souvenir count and split T between assembly and painting</t>
        </is>
      </c>
      <c r="K465" s="2" t="inlineStr">
        <is>
          <t xml:space="preserve">Двоично търсене по отговора (binary search)</t>
        </is>
      </c>
      <c r="L465" s="9" t="str">
        <f>HYPERLINK("https://arena.olimpiici.com/#/catalog/560/problem/101380","open problem")</f>
        <v>open problem</v>
      </c>
    </row>
    <row r="466">
      <c r="A466" s="2" t="inlineStr">
        <is>
          <t xml:space="preserve">candy</t>
        </is>
      </c>
      <c r="B466" s="2" t="inlineStr">
        <is>
          <t xml:space="preserve">NOI - Regional round</t>
        </is>
      </c>
      <c r="C466" s="8" t="inlineStr">
        <is>
          <t xml:space="preserve">C</t>
        </is>
      </c>
      <c r="D466" s="8">
        <v>2021</v>
      </c>
      <c r="E466" s="6">
        <v>4</v>
      </c>
      <c r="F466" s="2" t="inlineStr">
        <is>
          <t xml:space="preserve">Hard</t>
        </is>
      </c>
      <c r="G466" s="2" t="inlineStr">
        <is>
          <t xml:space="preserve">Combinatorics</t>
        </is>
      </c>
      <c r="H466" s="2" t="inlineStr">
        <is>
          <t xml:space="preserve">Counting / Frequency arrays</t>
        </is>
      </c>
      <c r="I466" s="2" t="inlineStr">
        <is>
          <t xml:space="preserve">Math, 2D arrays, Long long</t>
        </is>
      </c>
      <c r="J466" s="2" t="inlineStr">
        <is>
          <t xml:space="preserve">Symmetry groups cells into orbits of size 1, 2 or 4; count subsets summing to K</t>
        </is>
      </c>
      <c r="K466" s="2" t="inlineStr">
        <is>
          <t xml:space="preserve">Комбинаторика</t>
        </is>
      </c>
      <c r="L466" s="9" t="str">
        <f>HYPERLINK("https://arena.olimpiici.com/#/catalog/560/problem/101381","open problem")</f>
        <v>open problem</v>
      </c>
    </row>
    <row r="467">
      <c r="A467" s="2" t="inlineStr">
        <is>
          <t xml:space="preserve">elmcnt</t>
        </is>
      </c>
      <c r="B467" s="2" t="inlineStr">
        <is>
          <t xml:space="preserve">NOI - Regional round</t>
        </is>
      </c>
      <c r="C467" s="8" t="inlineStr">
        <is>
          <t xml:space="preserve">C</t>
        </is>
      </c>
      <c r="D467" s="8">
        <v>2022</v>
      </c>
      <c r="E467" s="6">
        <v>4</v>
      </c>
      <c r="F467" s="2" t="inlineStr">
        <is>
          <t xml:space="preserve">Hard</t>
        </is>
      </c>
      <c r="G467" s="2" t="inlineStr">
        <is>
          <t xml:space="preserve">Counting / Frequency arrays</t>
        </is>
      </c>
      <c r="H467" s="2" t="inlineStr">
        <is>
          <t xml:space="preserve">Math / Formula</t>
        </is>
      </c>
      <c r="I467" s="2" t="inlineStr">
        <is>
          <t xml:space="preserve">Long long, Math, Arrays</t>
        </is>
      </c>
      <c r="J467" s="2" t="inlineStr">
        <is>
          <t xml:space="preserve">Digit-count formula for the range [S, S+N), weighted by segments per digit</t>
        </is>
      </c>
      <c r="K467" s="2" t="inlineStr">
        <is>
          <t xml:space="preserve"/>
        </is>
      </c>
      <c r="L467" s="9" t="str">
        <f>HYPERLINK("https://arena.olimpiici.com/#/catalog/667/problem/101680","open problem")</f>
        <v>open problem</v>
      </c>
    </row>
    <row r="468">
      <c r="A468" s="2" t="inlineStr">
        <is>
          <t xml:space="preserve">cityline</t>
        </is>
      </c>
      <c r="B468" s="2" t="inlineStr">
        <is>
          <t xml:space="preserve">NOI - Regional round</t>
        </is>
      </c>
      <c r="C468" s="8" t="inlineStr">
        <is>
          <t xml:space="preserve">C</t>
        </is>
      </c>
      <c r="D468" s="8">
        <v>2022</v>
      </c>
      <c r="E468" s="6">
        <v>4</v>
      </c>
      <c r="F468" s="2" t="inlineStr">
        <is>
          <t xml:space="preserve">Hard</t>
        </is>
      </c>
      <c r="G468" s="2" t="inlineStr">
        <is>
          <t xml:space="preserve">Greedy</t>
        </is>
      </c>
      <c r="H468" s="2" t="inlineStr">
        <is>
          <t xml:space="preserve">Counting / Frequency arrays</t>
        </is>
      </c>
      <c r="I468" s="2" t="inlineStr">
        <is>
          <t xml:space="preserve">Sorting, Counting array, Arrays</t>
        </is>
      </c>
      <c r="J468" s="2" t="inlineStr">
        <is>
          <t xml:space="preserve">Both skylines must share the same maximum; buildings overlap where heights match</t>
        </is>
      </c>
      <c r="K468" s="2" t="inlineStr">
        <is>
          <t xml:space="preserve"/>
        </is>
      </c>
      <c r="L468" s="9" t="str">
        <f>HYPERLINK("https://arena.olimpiici.com/#/catalog/667/problem/101681","open problem")</f>
        <v>open problem</v>
      </c>
    </row>
    <row r="469">
      <c r="A469" s="2" t="inlineStr">
        <is>
          <t xml:space="preserve">reach</t>
        </is>
      </c>
      <c r="B469" s="2" t="inlineStr">
        <is>
          <t xml:space="preserve">NOI - Regional round</t>
        </is>
      </c>
      <c r="C469" s="8" t="inlineStr">
        <is>
          <t xml:space="preserve">C</t>
        </is>
      </c>
      <c r="D469" s="8">
        <v>2022</v>
      </c>
      <c r="E469" s="7">
        <v>5</v>
      </c>
      <c r="F469" s="2" t="inlineStr">
        <is>
          <t xml:space="preserve">Very hard</t>
        </is>
      </c>
      <c r="G469" s="2" t="inlineStr">
        <is>
          <t xml:space="preserve">Graph traversal (BFS/DFS)</t>
        </is>
      </c>
      <c r="H469" s="2" t="inlineStr">
        <is>
          <t xml:space="preserve">Data structures</t>
        </is>
      </c>
      <c r="I469" s="2" t="inlineStr">
        <is>
          <t xml:space="preserve">Vectors, Arrays, Stacks</t>
        </is>
      </c>
      <c r="J469" s="2" t="inlineStr">
        <is>
          <t xml:space="preserve">Condense strongly connected components; add one edge per source component not reachable from s</t>
        </is>
      </c>
      <c r="K469" s="2" t="inlineStr">
        <is>
          <t xml:space="preserve"/>
        </is>
      </c>
      <c r="L469" s="9" t="str">
        <f>HYPERLINK("https://arena.olimpiici.com/#/catalog/667/problem/101682","open problem")</f>
        <v>open problem</v>
      </c>
    </row>
    <row r="470">
      <c r="A470" s="2" t="inlineStr">
        <is>
          <t xml:space="preserve">alternative</t>
        </is>
      </c>
      <c r="B470" s="2" t="inlineStr">
        <is>
          <t xml:space="preserve">NOI - Regional round</t>
        </is>
      </c>
      <c r="C470" s="8" t="inlineStr">
        <is>
          <t xml:space="preserve">C</t>
        </is>
      </c>
      <c r="D470" s="8">
        <v>2023</v>
      </c>
      <c r="E470" s="6">
        <v>4</v>
      </c>
      <c r="F470" s="2" t="inlineStr">
        <is>
          <t xml:space="preserve">Hard</t>
        </is>
      </c>
      <c r="G470" s="2" t="inlineStr">
        <is>
          <t xml:space="preserve">Greedy</t>
        </is>
      </c>
      <c r="H470" s="2" t="inlineStr">
        <is>
          <t xml:space="preserve">Dynamic programming</t>
        </is>
      </c>
      <c r="I470" s="2" t="inlineStr">
        <is>
          <t xml:space="preserve">Long long, Math, Arrays</t>
        </is>
      </c>
      <c r="J470" s="2" t="inlineStr">
        <is>
          <t xml:space="preserve">Alternating binary values form a small set: greedily subtract the largest that fits</t>
        </is>
      </c>
      <c r="K470" s="2" t="inlineStr">
        <is>
          <t xml:space="preserve">Greedy</t>
        </is>
      </c>
      <c r="L470" s="9" t="str">
        <f>HYPERLINK("https://arena.olimpiici.com/#/catalog/746/problem/101918","open problem")</f>
        <v>open problem</v>
      </c>
    </row>
    <row r="471">
      <c r="A471" s="2" t="inlineStr">
        <is>
          <t xml:space="preserve">mindiff</t>
        </is>
      </c>
      <c r="B471" s="2" t="inlineStr">
        <is>
          <t xml:space="preserve">NOI - Regional round</t>
        </is>
      </c>
      <c r="C471" s="8" t="inlineStr">
        <is>
          <t xml:space="preserve">C</t>
        </is>
      </c>
      <c r="D471" s="8">
        <v>2023</v>
      </c>
      <c r="E471" s="6">
        <v>4</v>
      </c>
      <c r="F471" s="2" t="inlineStr">
        <is>
          <t xml:space="preserve">Hard</t>
        </is>
      </c>
      <c r="G471" s="2" t="inlineStr">
        <is>
          <t xml:space="preserve">Data structures</t>
        </is>
      </c>
      <c r="H471" s="2" t="inlineStr">
        <is>
          <t xml:space="preserve">Sorting</t>
        </is>
      </c>
      <c r="I471" s="2" t="inlineStr">
        <is>
          <t xml:space="preserve">Sets, Sorting, Arrays</t>
        </is>
      </c>
      <c r="J471" s="2" t="inlineStr">
        <is>
          <t xml:space="preserve">Insert elements one by one into a set, tracking the running minimum neighbour gap</t>
        </is>
      </c>
      <c r="K471" s="2" t="inlineStr">
        <is>
          <t xml:space="preserve">STL / Set; Сортиране (sorting)</t>
        </is>
      </c>
      <c r="L471" s="9" t="str">
        <f>HYPERLINK("https://arena.olimpiici.com/#/catalog/746/problem/101919","open problem")</f>
        <v>open problem</v>
      </c>
    </row>
    <row r="472">
      <c r="A472" s="2" t="inlineStr">
        <is>
          <t xml:space="preserve">sequences</t>
        </is>
      </c>
      <c r="B472" s="2" t="inlineStr">
        <is>
          <t xml:space="preserve">NOI - Regional round</t>
        </is>
      </c>
      <c r="C472" s="8" t="inlineStr">
        <is>
          <t xml:space="preserve">C</t>
        </is>
      </c>
      <c r="D472" s="8">
        <v>2023</v>
      </c>
      <c r="E472" s="6">
        <v>4</v>
      </c>
      <c r="F472" s="2" t="inlineStr">
        <is>
          <t xml:space="preserve">Hard</t>
        </is>
      </c>
      <c r="G472" s="2" t="inlineStr">
        <is>
          <t xml:space="preserve">Dynamic programming</t>
        </is>
      </c>
      <c r="H472" s="2" t="inlineStr">
        <is>
          <t xml:space="preserve">Combinatorics</t>
        </is>
      </c>
      <c r="I472" s="2" t="inlineStr">
        <is>
          <t xml:space="preserve">2D arrays, Modular arithmetic, Math</t>
        </is>
      </c>
      <c r="J472" s="2" t="inlineStr">
        <is>
          <t xml:space="preserve">DP over values used and positions filled, with binomials for each multiplicity</t>
        </is>
      </c>
      <c r="K472" s="2" t="inlineStr">
        <is>
          <t xml:space="preserve">Динамично програмиране (Dynamic programming); Комбинаторика</t>
        </is>
      </c>
      <c r="L472" s="9" t="str">
        <f>HYPERLINK("https://arena.olimpiici.com/#/catalog/746/problem/101920","open problem")</f>
        <v>open problem</v>
      </c>
    </row>
    <row r="473">
      <c r="A473" s="2" t="inlineStr">
        <is>
          <t xml:space="preserve">change</t>
        </is>
      </c>
      <c r="B473" s="2" t="inlineStr">
        <is>
          <t xml:space="preserve">NOI - Regional round</t>
        </is>
      </c>
      <c r="C473" s="8" t="inlineStr">
        <is>
          <t xml:space="preserve">C</t>
        </is>
      </c>
      <c r="D473" s="8">
        <v>2024</v>
      </c>
      <c r="E473" s="7">
        <v>5</v>
      </c>
      <c r="F473" s="2" t="inlineStr">
        <is>
          <t xml:space="preserve">Very hard</t>
        </is>
      </c>
      <c r="G473" s="2" t="inlineStr">
        <is>
          <t xml:space="preserve">Dynamic programming</t>
        </is>
      </c>
      <c r="H473" s="2" t="inlineStr">
        <is>
          <t xml:space="preserve">Sorting</t>
        </is>
      </c>
      <c r="I473" s="2" t="inlineStr">
        <is>
          <t xml:space="preserve">Bitmask, Arrays, Long long</t>
        </is>
      </c>
      <c r="J473" s="2" t="inlineStr">
        <is>
          <t xml:space="preserve">Subset-sum reachability of buyer and seller notes; find the largest unmatchable price</t>
        </is>
      </c>
      <c r="K473" s="2" t="inlineStr">
        <is>
          <t xml:space="preserve">Динамично програмиране (Dynamic programming); Сортиране (sorting)</t>
        </is>
      </c>
      <c r="L473" s="9" t="str">
        <f>HYPERLINK("https://arena.olimpiici.com/#/catalog/798/problem/102105","open problem")</f>
        <v>open problem</v>
      </c>
    </row>
    <row r="474">
      <c r="A474" s="2" t="inlineStr">
        <is>
          <t xml:space="preserve">prod</t>
        </is>
      </c>
      <c r="B474" s="2" t="inlineStr">
        <is>
          <t xml:space="preserve">NOI - Regional round</t>
        </is>
      </c>
      <c r="C474" s="8" t="inlineStr">
        <is>
          <t xml:space="preserve">C</t>
        </is>
      </c>
      <c r="D474" s="8">
        <v>2024</v>
      </c>
      <c r="E474" s="7">
        <v>5</v>
      </c>
      <c r="F474" s="2" t="inlineStr">
        <is>
          <t xml:space="preserve">Very hard</t>
        </is>
      </c>
      <c r="G474" s="2" t="inlineStr">
        <is>
          <t xml:space="preserve">Two pointers / Sliding window</t>
        </is>
      </c>
      <c r="H474" s="2" t="inlineStr">
        <is>
          <t xml:space="preserve">Number theory</t>
        </is>
      </c>
      <c r="I474" s="2" t="inlineStr">
        <is>
          <t xml:space="preserve">Two pointers, Counting array, Long long</t>
        </is>
      </c>
      <c r="J474" s="2" t="inlineStr">
        <is>
          <t xml:space="preserve">Divisor count grows with the window: sieve factorisations and slide both ends</t>
        </is>
      </c>
      <c r="K474" s="2" t="inlineStr">
        <is>
          <t xml:space="preserve">Метод на показалките / 2-pointers; Математика / Решето на Ератостен</t>
        </is>
      </c>
      <c r="L474" s="9" t="str">
        <f>HYPERLINK("https://arena.olimpiici.com/#/catalog/798/problem/102106","open problem")</f>
        <v>open problem</v>
      </c>
    </row>
    <row r="475">
      <c r="A475" s="2" t="inlineStr">
        <is>
          <t xml:space="preserve">strength</t>
        </is>
      </c>
      <c r="B475" s="2" t="inlineStr">
        <is>
          <t xml:space="preserve">NOI - Regional round</t>
        </is>
      </c>
      <c r="C475" s="8" t="inlineStr">
        <is>
          <t xml:space="preserve">C</t>
        </is>
      </c>
      <c r="D475" s="8">
        <v>2024</v>
      </c>
      <c r="E475" s="7">
        <v>5</v>
      </c>
      <c r="F475" s="2" t="inlineStr">
        <is>
          <t xml:space="preserve">Very hard</t>
        </is>
      </c>
      <c r="G475" s="2" t="inlineStr">
        <is>
          <t xml:space="preserve">Binary search</t>
        </is>
      </c>
      <c r="H475" s="2" t="inlineStr">
        <is>
          <t xml:space="preserve">Implementation / Simulation</t>
        </is>
      </c>
      <c r="I475" s="2" t="inlineStr">
        <is>
          <t xml:space="preserve">Arrays, Long long, Prefix sums</t>
        </is>
      </c>
      <c r="J475" s="2" t="inlineStr">
        <is>
          <t xml:space="preserve">Binary search the added weight, simulate the cascade of collapsing supports</t>
        </is>
      </c>
      <c r="K475" s="2" t="inlineStr">
        <is>
          <t xml:space="preserve"/>
        </is>
      </c>
      <c r="L475" s="9" t="str">
        <f>HYPERLINK("https://arena.olimpiici.com/#/catalog/798/problem/102107","open problem")</f>
        <v>open problem</v>
      </c>
    </row>
    <row r="476">
      <c r="A476" s="2" t="inlineStr">
        <is>
          <t xml:space="preserve">count</t>
        </is>
      </c>
      <c r="B476" s="2" t="inlineStr">
        <is>
          <t xml:space="preserve">NOI - Regional round</t>
        </is>
      </c>
      <c r="C476" s="8" t="inlineStr">
        <is>
          <t xml:space="preserve">C</t>
        </is>
      </c>
      <c r="D476" s="8">
        <v>2025</v>
      </c>
      <c r="E476" s="5">
        <v>3</v>
      </c>
      <c r="F476" s="2" t="inlineStr">
        <is>
          <t xml:space="preserve">Medium</t>
        </is>
      </c>
      <c r="G476" s="2" t="inlineStr">
        <is>
          <t xml:space="preserve">Dynamic programming</t>
        </is>
      </c>
      <c r="H476" s="2" t="inlineStr">
        <is>
          <t xml:space="preserve">Combinatorics</t>
        </is>
      </c>
      <c r="I476" s="2" t="inlineStr">
        <is>
          <t xml:space="preserve">2D arrays, Long long, Loops</t>
        </is>
      </c>
      <c r="J476" s="2" t="inlineStr">
        <is>
          <t xml:space="preserve">DP over (digits placed, digit sum) with the leading digit non-zero</t>
        </is>
      </c>
      <c r="K476" s="2" t="inlineStr">
        <is>
          <t xml:space="preserve">Динамично програмиране (Dynamic programming)</t>
        </is>
      </c>
      <c r="L476" s="9" t="str">
        <f>HYPERLINK("https://arena.olimpiici.com/#/catalog/865/problem/102326","open problem")</f>
        <v>open problem</v>
      </c>
    </row>
    <row r="477">
      <c r="A477" s="2" t="inlineStr">
        <is>
          <t xml:space="preserve">homework</t>
        </is>
      </c>
      <c r="B477" s="2" t="inlineStr">
        <is>
          <t xml:space="preserve">NOI - Regional round</t>
        </is>
      </c>
      <c r="C477" s="8" t="inlineStr">
        <is>
          <t xml:space="preserve">C</t>
        </is>
      </c>
      <c r="D477" s="8">
        <v>2025</v>
      </c>
      <c r="E477" s="6">
        <v>4</v>
      </c>
      <c r="F477" s="2" t="inlineStr">
        <is>
          <t xml:space="preserve">Hard</t>
        </is>
      </c>
      <c r="G477" s="2" t="inlineStr">
        <is>
          <t xml:space="preserve">Big numbers</t>
        </is>
      </c>
      <c r="H477" s="2" t="inlineStr">
        <is>
          <t xml:space="preserve">Number theory</t>
        </is>
      </c>
      <c r="I477" s="2" t="inlineStr">
        <is>
          <t xml:space="preserve">Big integers, Strings, Math</t>
        </is>
      </c>
      <c r="J477" s="2" t="inlineStr">
        <is>
          <t xml:space="preserve">Legendre's formula: repeatedly divide a 1000-digit N by 5 with big-number division</t>
        </is>
      </c>
      <c r="K477" s="2" t="inlineStr">
        <is>
          <t xml:space="preserve">Дълги числа (Big numbers)</t>
        </is>
      </c>
      <c r="L477" s="9" t="str">
        <f>HYPERLINK("https://arena.olimpiici.com/#/catalog/865/problem/102327","open problem")</f>
        <v>open problem</v>
      </c>
    </row>
    <row r="478">
      <c r="A478" s="2" t="inlineStr">
        <is>
          <t xml:space="preserve">sequence</t>
        </is>
      </c>
      <c r="B478" s="2" t="inlineStr">
        <is>
          <t xml:space="preserve">NOI - Regional round</t>
        </is>
      </c>
      <c r="C478" s="8" t="inlineStr">
        <is>
          <t xml:space="preserve">C</t>
        </is>
      </c>
      <c r="D478" s="8">
        <v>2025</v>
      </c>
      <c r="E478" s="6">
        <v>4</v>
      </c>
      <c r="F478" s="2" t="inlineStr">
        <is>
          <t xml:space="preserve">Hard</t>
        </is>
      </c>
      <c r="G478" s="2" t="inlineStr">
        <is>
          <t xml:space="preserve">Math / Formula</t>
        </is>
      </c>
      <c r="H478" s="2" t="inlineStr">
        <is>
          <t xml:space="preserve">Binary search</t>
        </is>
      </c>
      <c r="I478" s="2" t="inlineStr">
        <is>
          <t xml:space="preserve">Long long, Math, Modular arithmetic</t>
        </is>
      </c>
      <c r="J478" s="2" t="inlineStr">
        <is>
          <t xml:space="preserve">Closed forms for whole blocks, binary search to locate the partial ones</t>
        </is>
      </c>
      <c r="K478" s="2" t="inlineStr">
        <is>
          <t xml:space="preserve">Математика; Двоично търсене (binary search)</t>
        </is>
      </c>
      <c r="L478" s="9" t="str">
        <f>HYPERLINK("https://arena.olimpiici.com/#/catalog/865/problem/102328","open problem")</f>
        <v>open problem</v>
      </c>
    </row>
    <row r="479">
      <c r="A479" s="2" t="inlineStr">
        <is>
          <t xml:space="preserve">vases</t>
        </is>
      </c>
      <c r="B479" s="2" t="inlineStr">
        <is>
          <t xml:space="preserve">NOI - Regional round</t>
        </is>
      </c>
      <c r="C479" s="8" t="inlineStr">
        <is>
          <t xml:space="preserve">C</t>
        </is>
      </c>
      <c r="D479" s="8">
        <v>2026</v>
      </c>
      <c r="E479" s="6">
        <v>4</v>
      </c>
      <c r="F479" s="2" t="inlineStr">
        <is>
          <t xml:space="preserve">Hard</t>
        </is>
      </c>
      <c r="G479" s="2" t="inlineStr">
        <is>
          <t xml:space="preserve">Greedy</t>
        </is>
      </c>
      <c r="H479" s="2" t="inlineStr">
        <is>
          <t xml:space="preserve">Sorting</t>
        </is>
      </c>
      <c r="I479" s="2" t="inlineStr">
        <is>
          <t xml:space="preserve">Sorting, Counting array, Long long</t>
        </is>
      </c>
      <c r="J479" s="2" t="inlineStr">
        <is>
          <t xml:space="preserve">Sort vase heights and group them into shelves whose heights sum to at most H</t>
        </is>
      </c>
      <c r="K479" s="2" t="inlineStr">
        <is>
          <t xml:space="preserve"/>
        </is>
      </c>
      <c r="L479" s="9" t="str">
        <f>HYPERLINK("https://arena.olimpiici.com/#/catalog/930/problem/102617","open problem")</f>
        <v>open problem</v>
      </c>
    </row>
    <row r="480">
      <c r="A480" s="2" t="inlineStr">
        <is>
          <t xml:space="preserve">clocks</t>
        </is>
      </c>
      <c r="B480" s="2" t="inlineStr">
        <is>
          <t xml:space="preserve">NOI - Regional round</t>
        </is>
      </c>
      <c r="C480" s="8" t="inlineStr">
        <is>
          <t xml:space="preserve">C</t>
        </is>
      </c>
      <c r="D480" s="8">
        <v>2026</v>
      </c>
      <c r="E480" s="6">
        <v>4</v>
      </c>
      <c r="F480" s="2" t="inlineStr">
        <is>
          <t xml:space="preserve">Hard</t>
        </is>
      </c>
      <c r="G480" s="2" t="inlineStr">
        <is>
          <t xml:space="preserve">Prefix sums</t>
        </is>
      </c>
      <c r="H480" s="2" t="inlineStr">
        <is>
          <t xml:space="preserve">Math / Formula</t>
        </is>
      </c>
      <c r="I480" s="2" t="inlineStr">
        <is>
          <t xml:space="preserve">Prefix sums, Long long, Arrays</t>
        </is>
      </c>
      <c r="J480" s="2" t="inlineStr">
        <is>
          <t xml:space="preserve">Each clock covers a cyclic interval of hours; accumulate with a difference array</t>
        </is>
      </c>
      <c r="K480" s="2" t="inlineStr">
        <is>
          <t xml:space="preserve"/>
        </is>
      </c>
      <c r="L480" s="9" t="str">
        <f>HYPERLINK("https://arena.olimpiici.com/#/catalog/930/problem/102618","open problem")</f>
        <v>open problem</v>
      </c>
    </row>
    <row r="481">
      <c r="A481" s="2" t="inlineStr">
        <is>
          <t xml:space="preserve">message</t>
        </is>
      </c>
      <c r="B481" s="2" t="inlineStr">
        <is>
          <t xml:space="preserve">NOI - Regional round</t>
        </is>
      </c>
      <c r="C481" s="8" t="inlineStr">
        <is>
          <t xml:space="preserve">C</t>
        </is>
      </c>
      <c r="D481" s="8">
        <v>2026</v>
      </c>
      <c r="E481" s="7">
        <v>5</v>
      </c>
      <c r="F481" s="2" t="inlineStr">
        <is>
          <t xml:space="preserve">Very hard</t>
        </is>
      </c>
      <c r="G481" s="2" t="inlineStr">
        <is>
          <t xml:space="preserve">Trees</t>
        </is>
      </c>
      <c r="H481" s="2" t="inlineStr">
        <is>
          <t xml:space="preserve">Greedy</t>
        </is>
      </c>
      <c r="I481" s="2" t="inlineStr">
        <is>
          <t xml:space="preserve">Vectors, Sorting, Recursion</t>
        </is>
      </c>
      <c r="J481" s="2" t="inlineStr">
        <is>
          <t xml:space="preserve">Tree DP: forward to the heaviest subtrees first, at most k per day per node</t>
        </is>
      </c>
      <c r="K481" s="2" t="inlineStr">
        <is>
          <t xml:space="preserve"/>
        </is>
      </c>
      <c r="L481" s="9" t="str">
        <f>HYPERLINK("https://arena.olimpiici.com/#/catalog/930/problem/102619","open problem")</f>
        <v>open problem</v>
      </c>
    </row>
    <row r="482">
      <c r="A482" s="2" t="inlineStr">
        <is>
          <t xml:space="preserve">stones</t>
        </is>
      </c>
      <c r="B482" s="2" t="inlineStr">
        <is>
          <t xml:space="preserve">NOI - Regional round</t>
        </is>
      </c>
      <c r="C482" s="8" t="inlineStr">
        <is>
          <t xml:space="preserve">D</t>
        </is>
      </c>
      <c r="D482" s="8">
        <v>2009</v>
      </c>
      <c r="E482" s="3">
        <v>1</v>
      </c>
      <c r="F482" s="2" t="inlineStr">
        <is>
          <t xml:space="preserve">Very easy</t>
        </is>
      </c>
      <c r="G482" s="2" t="inlineStr">
        <is>
          <t xml:space="preserve">Counting / Frequency arrays</t>
        </is>
      </c>
      <c r="H482" s="2" t="inlineStr">
        <is>
          <t xml:space="preserve">Sorting</t>
        </is>
      </c>
      <c r="I482" s="2" t="inlineStr">
        <is>
          <t xml:space="preserve">Counting array, Arrays, Loops</t>
        </is>
      </c>
      <c r="J482" s="2" t="inlineStr">
        <is>
          <t xml:space="preserve">The answer is simply the number of distinct weights</t>
        </is>
      </c>
      <c r="K482" s="2" t="inlineStr">
        <is>
          <t xml:space="preserve">Броене с масив (counting); Сортиране (sorting); Разделяне на последователности</t>
        </is>
      </c>
      <c r="L482" s="9" t="str">
        <f>HYPERLINK("https://arena.olimpiici.com/#/catalog/152/problem/100358","open problem")</f>
        <v>open problem</v>
      </c>
    </row>
    <row r="483">
      <c r="A483" s="2" t="inlineStr">
        <is>
          <t xml:space="preserve">king</t>
        </is>
      </c>
      <c r="B483" s="2" t="inlineStr">
        <is>
          <t xml:space="preserve">NOI - Regional round</t>
        </is>
      </c>
      <c r="C483" s="8" t="inlineStr">
        <is>
          <t xml:space="preserve">D</t>
        </is>
      </c>
      <c r="D483" s="8">
        <v>2009</v>
      </c>
      <c r="E483" s="5">
        <v>3</v>
      </c>
      <c r="F483" s="2" t="inlineStr">
        <is>
          <t xml:space="preserve">Medium</t>
        </is>
      </c>
      <c r="G483" s="2" t="inlineStr">
        <is>
          <t xml:space="preserve">Two pointers / Sliding window</t>
        </is>
      </c>
      <c r="H483" s="2" t="inlineStr">
        <is>
          <t xml:space="preserve">Prefix sums</t>
        </is>
      </c>
      <c r="I483" s="2" t="inlineStr">
        <is>
          <t xml:space="preserve">Arrays, Two pointers, Long long</t>
        </is>
      </c>
      <c r="J483" s="2" t="inlineStr">
        <is>
          <t xml:space="preserve">Match western cheese totals against eastern bread totals with two moving indices</t>
        </is>
      </c>
      <c r="K483" s="2" t="inlineStr">
        <is>
          <t xml:space="preserve">Basic / Обхождане</t>
        </is>
      </c>
      <c r="L483" s="9" t="str">
        <f>HYPERLINK("https://arena.olimpiici.com/#/catalog/152/problem/100359","open problem")</f>
        <v>open problem</v>
      </c>
    </row>
    <row r="484">
      <c r="A484" s="2" t="inlineStr">
        <is>
          <t xml:space="preserve">sub</t>
        </is>
      </c>
      <c r="B484" s="2" t="inlineStr">
        <is>
          <t xml:space="preserve">NOI - Regional round</t>
        </is>
      </c>
      <c r="C484" s="8" t="inlineStr">
        <is>
          <t xml:space="preserve">D</t>
        </is>
      </c>
      <c r="D484" s="8">
        <v>2009</v>
      </c>
      <c r="E484" s="5">
        <v>3</v>
      </c>
      <c r="F484" s="2" t="inlineStr">
        <is>
          <t xml:space="preserve">Medium</t>
        </is>
      </c>
      <c r="G484" s="2" t="inlineStr">
        <is>
          <t xml:space="preserve">Big numbers</t>
        </is>
      </c>
      <c r="H484" s="2" t="inlineStr">
        <is>
          <t xml:space="preserve">Sorting</t>
        </is>
      </c>
      <c r="I484" s="2" t="inlineStr">
        <is>
          <t xml:space="preserve">Big integers, Counting array, Strings</t>
        </is>
      </c>
      <c r="J484" s="2" t="inlineStr">
        <is>
          <t xml:space="preserve">Sort the digits both ways and subtract the two 80-digit numbers</t>
        </is>
      </c>
      <c r="K484" s="2" t="inlineStr">
        <is>
          <t xml:space="preserve">Дълги числа (Big numbers); Сортиране (sorting); Сортиране с броене (counting sort)</t>
        </is>
      </c>
      <c r="L484" s="9" t="str">
        <f>HYPERLINK("https://arena.olimpiici.com/#/catalog/152/problem/100360","open problem")</f>
        <v>open problem</v>
      </c>
    </row>
    <row r="485">
      <c r="A485" s="2" t="inlineStr">
        <is>
          <t xml:space="preserve">fib</t>
        </is>
      </c>
      <c r="B485" s="2" t="inlineStr">
        <is>
          <t xml:space="preserve">NOI - Regional round</t>
        </is>
      </c>
      <c r="C485" s="8" t="inlineStr">
        <is>
          <t xml:space="preserve">D</t>
        </is>
      </c>
      <c r="D485" s="8">
        <v>2010</v>
      </c>
      <c r="E485" s="4">
        <v>2</v>
      </c>
      <c r="F485" s="2" t="inlineStr">
        <is>
          <t xml:space="preserve">Easy</t>
        </is>
      </c>
      <c r="G485" s="2" t="inlineStr">
        <is>
          <t xml:space="preserve">Big numbers</t>
        </is>
      </c>
      <c r="H485" s="2" t="inlineStr">
        <is>
          <t xml:space="preserve">Implementation / Simulation</t>
        </is>
      </c>
      <c r="I485" s="2" t="inlineStr">
        <is>
          <t xml:space="preserve">Big integers, Strings, Loops</t>
        </is>
      </c>
      <c r="J485" s="2" t="inlineStr">
        <is>
          <t xml:space="preserve">Generate Fibonacci numbers as strings until the concatenation reaches position n</t>
        </is>
      </c>
      <c r="K485" s="2" t="inlineStr">
        <is>
          <t xml:space="preserve">Моделиране</t>
        </is>
      </c>
      <c r="L485" s="9" t="str">
        <f>HYPERLINK("https://arena.olimpiici.com/#/catalog/158/problem/100373","open problem")</f>
        <v>open problem</v>
      </c>
    </row>
    <row r="486">
      <c r="A486" s="2" t="inlineStr">
        <is>
          <t xml:space="preserve">mag</t>
        </is>
      </c>
      <c r="B486" s="2" t="inlineStr">
        <is>
          <t xml:space="preserve">NOI - Regional round</t>
        </is>
      </c>
      <c r="C486" s="8" t="inlineStr">
        <is>
          <t xml:space="preserve">D</t>
        </is>
      </c>
      <c r="D486" s="8">
        <v>2010</v>
      </c>
      <c r="E486" s="5">
        <v>3</v>
      </c>
      <c r="F486" s="2" t="inlineStr">
        <is>
          <t xml:space="preserve">Medium</t>
        </is>
      </c>
      <c r="G486" s="2" t="inlineStr">
        <is>
          <t xml:space="preserve">Number theory</t>
        </is>
      </c>
      <c r="H486" s="2" t="inlineStr">
        <is>
          <t xml:space="preserve">Constructive</t>
        </is>
      </c>
      <c r="I486" s="2" t="inlineStr">
        <is>
          <t xml:space="preserve">Math, Arrays, Loops</t>
        </is>
      </c>
      <c r="J486" s="2" t="inlineStr">
        <is>
          <t xml:space="preserve">Factor n, then pad with ones so the sum matches the product</t>
        </is>
      </c>
      <c r="K486" s="2" t="inlineStr">
        <is>
          <t xml:space="preserve">Математика / Прости числа</t>
        </is>
      </c>
      <c r="L486" s="9" t="str">
        <f>HYPERLINK("https://arena.olimpiici.com/#/catalog/158/problem/100374","open problem")</f>
        <v>open problem</v>
      </c>
    </row>
    <row r="487">
      <c r="A487" s="2" t="inlineStr">
        <is>
          <t xml:space="preserve">tetris</t>
        </is>
      </c>
      <c r="B487" s="2" t="inlineStr">
        <is>
          <t xml:space="preserve">NOI - Regional round</t>
        </is>
      </c>
      <c r="C487" s="8" t="inlineStr">
        <is>
          <t xml:space="preserve">D</t>
        </is>
      </c>
      <c r="D487" s="8">
        <v>2010</v>
      </c>
      <c r="E487" s="4">
        <v>2</v>
      </c>
      <c r="F487" s="2" t="inlineStr">
        <is>
          <t xml:space="preserve">Easy</t>
        </is>
      </c>
      <c r="G487" s="2" t="inlineStr">
        <is>
          <t xml:space="preserve">Grid/Matrix</t>
        </is>
      </c>
      <c r="H487" s="2" t="inlineStr">
        <is>
          <t xml:space="preserve">Counting / Frequency arrays</t>
        </is>
      </c>
      <c r="I487" s="2" t="inlineStr">
        <is>
          <t xml:space="preserve">2D arrays, Grid/Matrix, Loops</t>
        </is>
      </c>
      <c r="J487" s="2" t="inlineStr">
        <is>
          <t xml:space="preserve">Find maximal runs of completely filled rows and score k(k+1)/2 each</t>
        </is>
      </c>
      <c r="K487" s="2" t="inlineStr">
        <is>
          <t xml:space="preserve">Двумерни и многомерни масиви; Разделяне на последователности</t>
        </is>
      </c>
      <c r="L487" s="9" t="str">
        <f>HYPERLINK("https://arena.olimpiici.com/#/catalog/158/problem/100375","open problem")</f>
        <v>open problem</v>
      </c>
    </row>
    <row r="488">
      <c r="A488" s="2" t="inlineStr">
        <is>
          <t xml:space="preserve">letters</t>
        </is>
      </c>
      <c r="B488" s="2" t="inlineStr">
        <is>
          <t xml:space="preserve">NOI - Regional round</t>
        </is>
      </c>
      <c r="C488" s="8" t="inlineStr">
        <is>
          <t xml:space="preserve">D</t>
        </is>
      </c>
      <c r="D488" s="8">
        <v>2011</v>
      </c>
      <c r="E488" s="4">
        <v>2</v>
      </c>
      <c r="F488" s="2" t="inlineStr">
        <is>
          <t xml:space="preserve">Easy</t>
        </is>
      </c>
      <c r="G488" s="2" t="inlineStr">
        <is>
          <t xml:space="preserve">String processing</t>
        </is>
      </c>
      <c r="H488" s="2" t="inlineStr">
        <is>
          <t xml:space="preserve">Counting / Frequency arrays</t>
        </is>
      </c>
      <c r="I488" s="2" t="inlineStr">
        <is>
          <t xml:space="preserve">Strings, Chars, Counting array</t>
        </is>
      </c>
      <c r="J488" s="2" t="inlineStr">
        <is>
          <t xml:space="preserve">Per column, test first letter, last letter and containment of the given letter</t>
        </is>
      </c>
      <c r="K488" s="2" t="inlineStr">
        <is>
          <t xml:space="preserve">Basic / Низове (string)</t>
        </is>
      </c>
      <c r="L488" s="9" t="str">
        <f>HYPERLINK("https://arena.olimpiici.com/#/catalog/164/problem/100388","open problem")</f>
        <v>open problem</v>
      </c>
    </row>
    <row r="489">
      <c r="A489" s="2" t="inlineStr">
        <is>
          <t xml:space="preserve">seq</t>
        </is>
      </c>
      <c r="B489" s="2" t="inlineStr">
        <is>
          <t xml:space="preserve">NOI - Regional round</t>
        </is>
      </c>
      <c r="C489" s="8" t="inlineStr">
        <is>
          <t xml:space="preserve">D</t>
        </is>
      </c>
      <c r="D489" s="8">
        <v>2011</v>
      </c>
      <c r="E489" s="3">
        <v>1</v>
      </c>
      <c r="F489" s="2" t="inlineStr">
        <is>
          <t xml:space="preserve">Very easy</t>
        </is>
      </c>
      <c r="G489" s="2" t="inlineStr">
        <is>
          <t xml:space="preserve">Counting / Frequency arrays</t>
        </is>
      </c>
      <c r="H489" s="2" t="inlineStr">
        <is>
          <t xml:space="preserve">Ad hoc / Observation</t>
        </is>
      </c>
      <c r="I489" s="2" t="inlineStr">
        <is>
          <t xml:space="preserve">Loops, I/O parsing, Arrays</t>
        </is>
      </c>
      <c r="J489" s="2" t="inlineStr">
        <is>
          <t xml:space="preserve">Scan the stream and track the longest non-decreasing run</t>
        </is>
      </c>
      <c r="K489" s="2" t="inlineStr">
        <is>
          <t xml:space="preserve">Разделяне на последователности</t>
        </is>
      </c>
      <c r="L489" s="9" t="str">
        <f>HYPERLINK("https://arena.olimpiici.com/#/catalog/164/problem/100389","open problem")</f>
        <v>open problem</v>
      </c>
    </row>
    <row r="490">
      <c r="A490" s="2" t="inlineStr">
        <is>
          <t xml:space="preserve">shield</t>
        </is>
      </c>
      <c r="B490" s="2" t="inlineStr">
        <is>
          <t xml:space="preserve">NOI - Regional round</t>
        </is>
      </c>
      <c r="C490" s="8" t="inlineStr">
        <is>
          <t xml:space="preserve">D</t>
        </is>
      </c>
      <c r="D490" s="8">
        <v>2011</v>
      </c>
      <c r="E490" s="5">
        <v>3</v>
      </c>
      <c r="F490" s="2" t="inlineStr">
        <is>
          <t xml:space="preserve">Medium</t>
        </is>
      </c>
      <c r="G490" s="2" t="inlineStr">
        <is>
          <t xml:space="preserve">Brute force</t>
        </is>
      </c>
      <c r="H490" s="2" t="inlineStr">
        <is>
          <t xml:space="preserve">Ad hoc / Observation</t>
        </is>
      </c>
      <c r="I490" s="2" t="inlineStr">
        <is>
          <t xml:space="preserve">Arrays, Loops, Math</t>
        </is>
      </c>
      <c r="J490" s="2" t="inlineStr">
        <is>
          <t xml:space="preserve">For each of the two orientations, the height is the maximum of pairwise plank sums</t>
        </is>
      </c>
      <c r="K490" s="2" t="inlineStr">
        <is>
          <t xml:space="preserve">Basic / Масиви</t>
        </is>
      </c>
      <c r="L490" s="9" t="str">
        <f>HYPERLINK("https://arena.olimpiici.com/#/catalog/164/problem/100390","open problem")</f>
        <v>open problem</v>
      </c>
    </row>
    <row r="491">
      <c r="A491" s="2" t="inlineStr">
        <is>
          <t xml:space="preserve">limes</t>
        </is>
      </c>
      <c r="B491" s="2" t="inlineStr">
        <is>
          <t xml:space="preserve">NOI - Regional round</t>
        </is>
      </c>
      <c r="C491" s="8" t="inlineStr">
        <is>
          <t xml:space="preserve">D</t>
        </is>
      </c>
      <c r="D491" s="8">
        <v>2012</v>
      </c>
      <c r="E491" s="4">
        <v>2</v>
      </c>
      <c r="F491" s="2" t="inlineStr">
        <is>
          <t xml:space="preserve">Easy</t>
        </is>
      </c>
      <c r="G491" s="2" t="inlineStr">
        <is>
          <t xml:space="preserve">Math / Formula</t>
        </is>
      </c>
      <c r="H491" s="2" t="inlineStr">
        <is>
          <t xml:space="preserve">Grid/Matrix</t>
        </is>
      </c>
      <c r="I491" s="2" t="inlineStr">
        <is>
          <t xml:space="preserve">Math, Grid/Matrix, Loops</t>
        </is>
      </c>
      <c r="J491" s="2" t="inlineStr">
        <is>
          <t xml:space="preserve">Boustrophedon numbering: odd rows count forwards, even rows backwards</t>
        </is>
      </c>
      <c r="K491" s="2" t="inlineStr">
        <is>
          <t xml:space="preserve">Двумерни и многомерни масиви</t>
        </is>
      </c>
      <c r="L491" s="9" t="str">
        <f>HYPERLINK("https://arena.olimpiici.com/#/catalog/170/problem/100403","open problem")</f>
        <v>open problem</v>
      </c>
    </row>
    <row r="492">
      <c r="A492" s="2" t="inlineStr">
        <is>
          <t xml:space="preserve">notice</t>
        </is>
      </c>
      <c r="B492" s="2" t="inlineStr">
        <is>
          <t xml:space="preserve">NOI - Regional round</t>
        </is>
      </c>
      <c r="C492" s="8" t="inlineStr">
        <is>
          <t xml:space="preserve">D</t>
        </is>
      </c>
      <c r="D492" s="8">
        <v>2012</v>
      </c>
      <c r="E492" s="5">
        <v>3</v>
      </c>
      <c r="F492" s="2" t="inlineStr">
        <is>
          <t xml:space="preserve">Medium</t>
        </is>
      </c>
      <c r="G492" s="2" t="inlineStr">
        <is>
          <t xml:space="preserve">Grid/Matrix</t>
        </is>
      </c>
      <c r="H492" s="2" t="inlineStr">
        <is>
          <t xml:space="preserve">Prefix sums</t>
        </is>
      </c>
      <c r="I492" s="2" t="inlineStr">
        <is>
          <t xml:space="preserve">2D arrays, Prefix sums, Grid/Matrix</t>
        </is>
      </c>
      <c r="J492" s="2" t="inlineStr">
        <is>
          <t xml:space="preserve">Mark occupied cells, then count free UxW placements with 2D prefix sums</t>
        </is>
      </c>
      <c r="K492" s="2" t="inlineStr">
        <is>
          <t xml:space="preserve">Двумерни и многомерни масиви; Префиксни суми (prefix array)</t>
        </is>
      </c>
      <c r="L492" s="9" t="str">
        <f>HYPERLINK("https://arena.olimpiici.com/#/catalog/170/problem/100404","open problem")</f>
        <v>open problem</v>
      </c>
    </row>
    <row r="493">
      <c r="A493" s="2" t="inlineStr">
        <is>
          <t xml:space="preserve">marbles</t>
        </is>
      </c>
      <c r="B493" s="2" t="inlineStr">
        <is>
          <t xml:space="preserve">NOI - Regional round</t>
        </is>
      </c>
      <c r="C493" s="8" t="inlineStr">
        <is>
          <t xml:space="preserve">D</t>
        </is>
      </c>
      <c r="D493" s="8">
        <v>2012</v>
      </c>
      <c r="E493" s="5">
        <v>3</v>
      </c>
      <c r="F493" s="2" t="inlineStr">
        <is>
          <t xml:space="preserve">Medium</t>
        </is>
      </c>
      <c r="G493" s="2" t="inlineStr">
        <is>
          <t xml:space="preserve">Data structures</t>
        </is>
      </c>
      <c r="H493" s="2" t="inlineStr">
        <is>
          <t xml:space="preserve">String processing</t>
        </is>
      </c>
      <c r="I493" s="2" t="inlineStr">
        <is>
          <t xml:space="preserve">Stacks, Strings, Chars</t>
        </is>
      </c>
      <c r="J493" s="2" t="inlineStr">
        <is>
          <t xml:space="preserve">Stack of (colour, count): pop groups of three or more until nothing collapses</t>
        </is>
      </c>
      <c r="K493" s="2" t="inlineStr">
        <is>
          <t xml:space="preserve">Разделяне на последователности</t>
        </is>
      </c>
      <c r="L493" s="9" t="str">
        <f>HYPERLINK("https://arena.olimpiici.com/#/catalog/170/problem/100405","open problem")</f>
        <v>open problem</v>
      </c>
    </row>
    <row r="494">
      <c r="A494" s="2" t="inlineStr">
        <is>
          <t xml:space="preserve">wow</t>
        </is>
      </c>
      <c r="B494" s="2" t="inlineStr">
        <is>
          <t xml:space="preserve">NOI - Regional round</t>
        </is>
      </c>
      <c r="C494" s="8" t="inlineStr">
        <is>
          <t xml:space="preserve">D</t>
        </is>
      </c>
      <c r="D494" s="8">
        <v>2013</v>
      </c>
      <c r="E494" s="6">
        <v>4</v>
      </c>
      <c r="F494" s="2" t="inlineStr">
        <is>
          <t xml:space="preserve">Hard</t>
        </is>
      </c>
      <c r="G494" s="2" t="inlineStr">
        <is>
          <t xml:space="preserve">Graph traversal (BFS/DFS)</t>
        </is>
      </c>
      <c r="H494" s="2" t="inlineStr">
        <is>
          <t xml:space="preserve">Ad hoc / Observation</t>
        </is>
      </c>
      <c r="I494" s="2" t="inlineStr">
        <is>
          <t xml:space="preserve">Arrays, Vectors, Loops</t>
        </is>
      </c>
      <c r="J494" s="2" t="inlineStr">
        <is>
          <t xml:space="preserve">Functional graph: separate cycle nodes, nodes leading into them, and unreachable ones</t>
        </is>
      </c>
      <c r="K494" s="2" t="inlineStr">
        <is>
          <t xml:space="preserve"/>
        </is>
      </c>
      <c r="L494" s="9" t="str">
        <f>HYPERLINK("https://arena.olimpiici.com/#/catalog/176/problem/100418","open problem")</f>
        <v>open problem</v>
      </c>
    </row>
    <row r="495">
      <c r="A495" s="2" t="inlineStr">
        <is>
          <t xml:space="preserve">painting</t>
        </is>
      </c>
      <c r="B495" s="2" t="inlineStr">
        <is>
          <t xml:space="preserve">NOI - Regional round</t>
        </is>
      </c>
      <c r="C495" s="8" t="inlineStr">
        <is>
          <t xml:space="preserve">D</t>
        </is>
      </c>
      <c r="D495" s="8">
        <v>2013</v>
      </c>
      <c r="E495" s="4">
        <v>2</v>
      </c>
      <c r="F495" s="2" t="inlineStr">
        <is>
          <t xml:space="preserve">Easy</t>
        </is>
      </c>
      <c r="G495" s="2" t="inlineStr">
        <is>
          <t xml:space="preserve">Math / Formula</t>
        </is>
      </c>
      <c r="H495" s="2" t="inlineStr">
        <is>
          <t xml:space="preserve">Combinatorics</t>
        </is>
      </c>
      <c r="I495" s="2" t="inlineStr">
        <is>
          <t xml:space="preserve">Math, Loops, Long long</t>
        </is>
      </c>
      <c r="J495" s="2" t="inlineStr">
        <is>
          <t xml:space="preserve">Corners have 3 faces, edges 2, faces 1, interior 0: closed-form counts</t>
        </is>
      </c>
      <c r="K495" s="2" t="inlineStr">
        <is>
          <t xml:space="preserve">Математика</t>
        </is>
      </c>
      <c r="L495" s="9" t="str">
        <f>HYPERLINK("https://arena.olimpiici.com/#/catalog/176/problem/100419","open problem")</f>
        <v>open problem</v>
      </c>
    </row>
    <row r="496">
      <c r="A496" s="2" t="inlineStr">
        <is>
          <t xml:space="preserve">tststsbreh</t>
        </is>
      </c>
      <c r="B496" s="2" t="inlineStr">
        <is>
          <t xml:space="preserve">NOI - Regional round</t>
        </is>
      </c>
      <c r="C496" s="8" t="inlineStr">
        <is>
          <t xml:space="preserve">D</t>
        </is>
      </c>
      <c r="D496" s="8">
        <v>2013</v>
      </c>
      <c r="E496" s="4">
        <v>2</v>
      </c>
      <c r="F496" s="2" t="inlineStr">
        <is>
          <t xml:space="preserve">Easy</t>
        </is>
      </c>
      <c r="G496" s="2" t="inlineStr">
        <is>
          <t xml:space="preserve">String processing</t>
        </is>
      </c>
      <c r="H496" s="2" t="inlineStr">
        <is>
          <t xml:space="preserve">Counting / Frequency arrays</t>
        </is>
      </c>
      <c r="I496" s="2" t="inlineStr">
        <is>
          <t xml:space="preserve">Strings, Chars, Loops</t>
        </is>
      </c>
      <c r="J496" s="2" t="inlineStr">
        <is>
          <t xml:space="preserve">Count sentences containing a run of four or more consonants</t>
        </is>
      </c>
      <c r="K496" s="2" t="inlineStr">
        <is>
          <t xml:space="preserve">Basic / Низове (string); Разделяне на последователности</t>
        </is>
      </c>
      <c r="L496" s="9" t="str">
        <f>HYPERLINK("https://arena.olimpiici.com/#/catalog/176/problem/100420","open problem")</f>
        <v>open problem</v>
      </c>
    </row>
    <row r="497">
      <c r="A497" s="2" t="inlineStr">
        <is>
          <t xml:space="preserve">barray</t>
        </is>
      </c>
      <c r="B497" s="2" t="inlineStr">
        <is>
          <t xml:space="preserve">NOI - Regional round</t>
        </is>
      </c>
      <c r="C497" s="8" t="inlineStr">
        <is>
          <t xml:space="preserve">D</t>
        </is>
      </c>
      <c r="D497" s="8">
        <v>2014</v>
      </c>
      <c r="E497" s="4">
        <v>2</v>
      </c>
      <c r="F497" s="2" t="inlineStr">
        <is>
          <t xml:space="preserve">Easy</t>
        </is>
      </c>
      <c r="G497" s="2" t="inlineStr">
        <is>
          <t xml:space="preserve">Prefix sums</t>
        </is>
      </c>
      <c r="H497" s="2" t="inlineStr">
        <is>
          <t xml:space="preserve">Two pointers / Sliding window</t>
        </is>
      </c>
      <c r="I497" s="2" t="inlineStr">
        <is>
          <t xml:space="preserve">Prefix sums, Arrays, Long long</t>
        </is>
      </c>
      <c r="J497" s="2" t="inlineStr">
        <is>
          <t xml:space="preserve">Scan prefix sums for the index where prefix equals suffix</t>
        </is>
      </c>
      <c r="K497" s="2" t="inlineStr">
        <is>
          <t xml:space="preserve">Префиксни суми (prefix array); Метод на показалките / 2-pointers; Basic / Обхождане</t>
        </is>
      </c>
      <c r="L497" s="9" t="str">
        <f>HYPERLINK("https://arena.olimpiici.com/#/catalog/182/problem/100433","open problem")</f>
        <v>open problem</v>
      </c>
    </row>
    <row r="498">
      <c r="A498" s="2" t="inlineStr">
        <is>
          <t xml:space="preserve">numerology</t>
        </is>
      </c>
      <c r="B498" s="2" t="inlineStr">
        <is>
          <t xml:space="preserve">NOI - Regional round</t>
        </is>
      </c>
      <c r="C498" s="8" t="inlineStr">
        <is>
          <t xml:space="preserve">D</t>
        </is>
      </c>
      <c r="D498" s="8">
        <v>2014</v>
      </c>
      <c r="E498" s="4">
        <v>2</v>
      </c>
      <c r="F498" s="2" t="inlineStr">
        <is>
          <t xml:space="preserve">Easy</t>
        </is>
      </c>
      <c r="G498" s="2" t="inlineStr">
        <is>
          <t xml:space="preserve">String processing</t>
        </is>
      </c>
      <c r="H498" s="2" t="inlineStr">
        <is>
          <t xml:space="preserve">Math / Formula</t>
        </is>
      </c>
      <c r="I498" s="2" t="inlineStr">
        <is>
          <t xml:space="preserve">Strings, Chars, Math</t>
        </is>
      </c>
      <c r="J498" s="2" t="inlineStr">
        <is>
          <t xml:space="preserve">Map letters to digits, repeatedly sum until one digit, with 33 as the exception</t>
        </is>
      </c>
      <c r="K498" s="2" t="inlineStr">
        <is>
          <t xml:space="preserve">Basic / Низове (string)</t>
        </is>
      </c>
      <c r="L498" s="9" t="str">
        <f>HYPERLINK("https://arena.olimpiici.com/#/catalog/182/problem/100434","open problem")</f>
        <v>open problem</v>
      </c>
    </row>
    <row r="499">
      <c r="A499" s="2" t="inlineStr">
        <is>
          <t xml:space="preserve">egypt</t>
        </is>
      </c>
      <c r="B499" s="2" t="inlineStr">
        <is>
          <t xml:space="preserve">NOI - Regional round</t>
        </is>
      </c>
      <c r="C499" s="8" t="inlineStr">
        <is>
          <t xml:space="preserve">D</t>
        </is>
      </c>
      <c r="D499" s="8">
        <v>2014</v>
      </c>
      <c r="E499" s="5">
        <v>3</v>
      </c>
      <c r="F499" s="2" t="inlineStr">
        <is>
          <t xml:space="preserve">Medium</t>
        </is>
      </c>
      <c r="G499" s="2" t="inlineStr">
        <is>
          <t xml:space="preserve">Number theory</t>
        </is>
      </c>
      <c r="H499" s="2" t="inlineStr">
        <is>
          <t xml:space="preserve">Math / Formula</t>
        </is>
      </c>
      <c r="I499" s="2" t="inlineStr">
        <is>
          <t xml:space="preserve">Math, Loops, Long long</t>
        </is>
      </c>
      <c r="J499" s="2" t="inlineStr">
        <is>
          <t xml:space="preserve">1/x+1/y=1/z gives (x-z)(y-z)=z^2: enumerate divisors of z squared</t>
        </is>
      </c>
      <c r="K499" s="2" t="inlineStr">
        <is>
          <t xml:space="preserve">Математика / Дроби</t>
        </is>
      </c>
      <c r="L499" s="9" t="str">
        <f>HYPERLINK("https://arena.olimpiici.com/#/catalog/182/problem/100435","open problem")</f>
        <v>open problem</v>
      </c>
    </row>
    <row r="500">
      <c r="A500" s="2" t="inlineStr">
        <is>
          <t xml:space="preserve">rect</t>
        </is>
      </c>
      <c r="B500" s="2" t="inlineStr">
        <is>
          <t xml:space="preserve">NOI - Regional round</t>
        </is>
      </c>
      <c r="C500" s="8" t="inlineStr">
        <is>
          <t xml:space="preserve">D</t>
        </is>
      </c>
      <c r="D500" s="8">
        <v>2015</v>
      </c>
      <c r="E500" s="6">
        <v>4</v>
      </c>
      <c r="F500" s="2" t="inlineStr">
        <is>
          <t xml:space="preserve">Hard</t>
        </is>
      </c>
      <c r="G500" s="2" t="inlineStr">
        <is>
          <t xml:space="preserve">Prefix sums</t>
        </is>
      </c>
      <c r="H500" s="2" t="inlineStr">
        <is>
          <t xml:space="preserve">Sorting</t>
        </is>
      </c>
      <c r="I500" s="2" t="inlineStr">
        <is>
          <t xml:space="preserve">2D arrays, Prefix sums, Sorting</t>
        </is>
      </c>
      <c r="J500" s="2" t="inlineStr">
        <is>
          <t xml:space="preserve">y is small, so build a 2D prefix over (x,y) and slide the a x b window</t>
        </is>
      </c>
      <c r="K500" s="2" t="inlineStr">
        <is>
          <t xml:space="preserve">Двумерни и многомерни масиви; Префиксни суми (prefix array); Сортиране (sorting)</t>
        </is>
      </c>
      <c r="L500" s="9" t="str">
        <f>HYPERLINK("https://arena.olimpiici.com/#/catalog/188/problem/100448","open problem")</f>
        <v>open problem</v>
      </c>
    </row>
    <row r="501">
      <c r="A501" s="2" t="inlineStr">
        <is>
          <t xml:space="preserve">maxpro</t>
        </is>
      </c>
      <c r="B501" s="2" t="inlineStr">
        <is>
          <t xml:space="preserve">NOI - Regional round</t>
        </is>
      </c>
      <c r="C501" s="8" t="inlineStr">
        <is>
          <t xml:space="preserve">D</t>
        </is>
      </c>
      <c r="D501" s="8">
        <v>2015</v>
      </c>
      <c r="E501" s="6">
        <v>4</v>
      </c>
      <c r="F501" s="2" t="inlineStr">
        <is>
          <t xml:space="preserve">Hard</t>
        </is>
      </c>
      <c r="G501" s="2" t="inlineStr">
        <is>
          <t xml:space="preserve">Big numbers</t>
        </is>
      </c>
      <c r="H501" s="2" t="inlineStr">
        <is>
          <t xml:space="preserve">Brute force</t>
        </is>
      </c>
      <c r="I501" s="2" t="inlineStr">
        <is>
          <t xml:space="preserve">Big integers, Strings, Loops</t>
        </is>
      </c>
      <c r="J501" s="2" t="inlineStr">
        <is>
          <t xml:space="preserve">Try every pair of cut points on the ring and compare big-number products</t>
        </is>
      </c>
      <c r="K501" s="2" t="inlineStr">
        <is>
          <t xml:space="preserve">Дълги числа (Big numbers)</t>
        </is>
      </c>
      <c r="L501" s="9" t="str">
        <f>HYPERLINK("https://arena.olimpiici.com/#/catalog/188/problem/100449","open problem")</f>
        <v>open problem</v>
      </c>
    </row>
    <row r="502">
      <c r="A502" s="2" t="inlineStr">
        <is>
          <t xml:space="preserve">digits</t>
        </is>
      </c>
      <c r="B502" s="2" t="inlineStr">
        <is>
          <t xml:space="preserve">NOI - Regional round</t>
        </is>
      </c>
      <c r="C502" s="8" t="inlineStr">
        <is>
          <t xml:space="preserve">D</t>
        </is>
      </c>
      <c r="D502" s="8">
        <v>2015</v>
      </c>
      <c r="E502" s="5">
        <v>3</v>
      </c>
      <c r="F502" s="2" t="inlineStr">
        <is>
          <t xml:space="preserve">Medium</t>
        </is>
      </c>
      <c r="G502" s="2" t="inlineStr">
        <is>
          <t xml:space="preserve">Math / Formula</t>
        </is>
      </c>
      <c r="H502" s="2" t="inlineStr">
        <is>
          <t xml:space="preserve">Counting / Frequency arrays</t>
        </is>
      </c>
      <c r="I502" s="2" t="inlineStr">
        <is>
          <t xml:space="preserve">Long long, Math, Loops</t>
        </is>
      </c>
      <c r="J502" s="2" t="inlineStr">
        <is>
          <t xml:space="preserve">Digit-position counting of occurrences of k up to 10^18</t>
        </is>
      </c>
      <c r="K502" s="2" t="inlineStr">
        <is>
          <t xml:space="preserve">Динамично програмиране (Dynamic programming)</t>
        </is>
      </c>
      <c r="L502" s="9" t="str">
        <f>HYPERLINK("https://arena.olimpiici.com/#/catalog/188/problem/100450","open problem")</f>
        <v>open problem</v>
      </c>
    </row>
    <row r="503">
      <c r="A503" s="2" t="inlineStr">
        <is>
          <t xml:space="preserve">maxnotice</t>
        </is>
      </c>
      <c r="B503" s="2" t="inlineStr">
        <is>
          <t xml:space="preserve">NOI - Regional round</t>
        </is>
      </c>
      <c r="C503" s="8" t="inlineStr">
        <is>
          <t xml:space="preserve">D</t>
        </is>
      </c>
      <c r="D503" s="8">
        <v>2016</v>
      </c>
      <c r="E503" s="5">
        <v>3</v>
      </c>
      <c r="F503" s="2" t="inlineStr">
        <is>
          <t xml:space="preserve">Medium</t>
        </is>
      </c>
      <c r="G503" s="2" t="inlineStr">
        <is>
          <t xml:space="preserve">Grid/Matrix</t>
        </is>
      </c>
      <c r="H503" s="2" t="inlineStr">
        <is>
          <t xml:space="preserve">Brute force</t>
        </is>
      </c>
      <c r="I503" s="2" t="inlineStr">
        <is>
          <t xml:space="preserve">2D arrays, Grid/Matrix, Loops</t>
        </is>
      </c>
      <c r="J503" s="2" t="inlineStr">
        <is>
          <t xml:space="preserve">Mark occupied cells, then search for the largest free axis-aligned rectangle</t>
        </is>
      </c>
      <c r="K503" s="2" t="inlineStr">
        <is>
          <t xml:space="preserve">Двумерни и многомерни масиви; Предварителна обработка (precomputing)</t>
        </is>
      </c>
      <c r="L503" s="9" t="str">
        <f>HYPERLINK("https://arena.olimpiici.com/#/catalog/194/problem/100463","open problem")</f>
        <v>open problem</v>
      </c>
    </row>
    <row r="504">
      <c r="A504" s="2" t="inlineStr">
        <is>
          <t xml:space="preserve">leaders</t>
        </is>
      </c>
      <c r="B504" s="2" t="inlineStr">
        <is>
          <t xml:space="preserve">NOI - Regional round</t>
        </is>
      </c>
      <c r="C504" s="8" t="inlineStr">
        <is>
          <t xml:space="preserve">D</t>
        </is>
      </c>
      <c r="D504" s="8">
        <v>2016</v>
      </c>
      <c r="E504" s="4">
        <v>2</v>
      </c>
      <c r="F504" s="2" t="inlineStr">
        <is>
          <t xml:space="preserve">Easy</t>
        </is>
      </c>
      <c r="G504" s="2" t="inlineStr">
        <is>
          <t xml:space="preserve">Ad hoc / Observation</t>
        </is>
      </c>
      <c r="H504" s="2" t="inlineStr">
        <is>
          <t xml:space="preserve">Prefix sums</t>
        </is>
      </c>
      <c r="I504" s="2" t="inlineStr">
        <is>
          <t xml:space="preserve">Arrays, Loops, Vectors</t>
        </is>
      </c>
      <c r="J504" s="2" t="inlineStr">
        <is>
          <t xml:space="preserve">Scan right to left keeping the running maximum; leaders are the new maxima</t>
        </is>
      </c>
      <c r="K504" s="2" t="inlineStr">
        <is>
          <t xml:space="preserve">Basic / Обхождане</t>
        </is>
      </c>
      <c r="L504" s="9" t="str">
        <f>HYPERLINK("https://arena.olimpiici.com/#/catalog/194/problem/100464","open problem")</f>
        <v>open problem</v>
      </c>
    </row>
    <row r="505">
      <c r="A505" s="2" t="inlineStr">
        <is>
          <t xml:space="preserve">grid</t>
        </is>
      </c>
      <c r="B505" s="2" t="inlineStr">
        <is>
          <t xml:space="preserve">NOI - Regional round</t>
        </is>
      </c>
      <c r="C505" s="8" t="inlineStr">
        <is>
          <t xml:space="preserve">D</t>
        </is>
      </c>
      <c r="D505" s="8">
        <v>2016</v>
      </c>
      <c r="E505" s="4">
        <v>2</v>
      </c>
      <c r="F505" s="2" t="inlineStr">
        <is>
          <t xml:space="preserve">Easy</t>
        </is>
      </c>
      <c r="G505" s="2" t="inlineStr">
        <is>
          <t xml:space="preserve">Flood fill</t>
        </is>
      </c>
      <c r="H505" s="2" t="inlineStr">
        <is>
          <t xml:space="preserve">Graph traversal (BFS/DFS)</t>
        </is>
      </c>
      <c r="I505" s="2" t="inlineStr">
        <is>
          <t xml:space="preserve">2D arrays, Recursion, Grid/Matrix</t>
        </is>
      </c>
      <c r="J505" s="2" t="inlineStr">
        <is>
          <t xml:space="preserve">Count connected components of white cells with flood fill</t>
        </is>
      </c>
      <c r="K505" s="2" t="inlineStr">
        <is>
          <t xml:space="preserve">Двумерни и многомерни масиви; Рекурсия (recursion); Търсене с връщане (backtracking); Графи / Търсене в дълбочина (DFS)</t>
        </is>
      </c>
      <c r="L505" s="9" t="str">
        <f>HYPERLINK("https://arena.olimpiici.com/#/catalog/194/problem/100465","open problem")</f>
        <v>open problem</v>
      </c>
    </row>
    <row r="506">
      <c r="A506" s="2" t="inlineStr">
        <is>
          <t xml:space="preserve">dentist</t>
        </is>
      </c>
      <c r="B506" s="2" t="inlineStr">
        <is>
          <t xml:space="preserve">NOI - Regional round</t>
        </is>
      </c>
      <c r="C506" s="8" t="inlineStr">
        <is>
          <t xml:space="preserve">D</t>
        </is>
      </c>
      <c r="D506" s="8">
        <v>2017</v>
      </c>
      <c r="E506" s="5">
        <v>3</v>
      </c>
      <c r="F506" s="2" t="inlineStr">
        <is>
          <t xml:space="preserve">Medium</t>
        </is>
      </c>
      <c r="G506" s="2" t="inlineStr">
        <is>
          <t xml:space="preserve">Sorting</t>
        </is>
      </c>
      <c r="H506" s="2" t="inlineStr">
        <is>
          <t xml:space="preserve">Implementation / Simulation</t>
        </is>
      </c>
      <c r="I506" s="2" t="inlineStr">
        <is>
          <t xml:space="preserve">Sorting, Queues, Pairs</t>
        </is>
      </c>
      <c r="J506" s="2" t="inlineStr">
        <is>
          <t xml:space="preserve">Queue simulation: each patient starts at max(arrival, previous finish)</t>
        </is>
      </c>
      <c r="K506" s="2" t="inlineStr">
        <is>
          <t xml:space="preserve">Сортиране (sorting); STL / pair; Сортиране с броене (counting sort); Броене с масив (counting)</t>
        </is>
      </c>
      <c r="L506" s="9" t="str">
        <f>HYPERLINK("https://arena.olimpiici.com/#/catalog/200/problem/100478","open problem")</f>
        <v>open problem</v>
      </c>
    </row>
    <row r="507">
      <c r="A507" s="2" t="inlineStr">
        <is>
          <t xml:space="preserve">degrees</t>
        </is>
      </c>
      <c r="B507" s="2" t="inlineStr">
        <is>
          <t xml:space="preserve">NOI - Regional round</t>
        </is>
      </c>
      <c r="C507" s="8" t="inlineStr">
        <is>
          <t xml:space="preserve">D</t>
        </is>
      </c>
      <c r="D507" s="8">
        <v>2017</v>
      </c>
      <c r="E507" s="5">
        <v>3</v>
      </c>
      <c r="F507" s="2" t="inlineStr">
        <is>
          <t xml:space="preserve">Medium</t>
        </is>
      </c>
      <c r="G507" s="2" t="inlineStr">
        <is>
          <t xml:space="preserve">Big numbers</t>
        </is>
      </c>
      <c r="H507" s="2" t="inlineStr">
        <is>
          <t xml:space="preserve">String processing</t>
        </is>
      </c>
      <c r="I507" s="2" t="inlineStr">
        <is>
          <t xml:space="preserve">Big integers, Strings, Loops</t>
        </is>
      </c>
      <c r="J507" s="2" t="inlineStr">
        <is>
          <t xml:space="preserve">Generate powers of two as strings until the concatenation length matches the input</t>
        </is>
      </c>
      <c r="K507" s="2" t="inlineStr">
        <is>
          <t xml:space="preserve">Дълги числа (Big numbers); Математика / Степенуване</t>
        </is>
      </c>
      <c r="L507" s="9" t="str">
        <f>HYPERLINK("https://arena.olimpiici.com/#/catalog/200/problem/100479","open problem")</f>
        <v>open problem</v>
      </c>
    </row>
    <row r="508">
      <c r="A508" s="2" t="inlineStr">
        <is>
          <t xml:space="preserve">bio</t>
        </is>
      </c>
      <c r="B508" s="2" t="inlineStr">
        <is>
          <t xml:space="preserve">NOI - Regional round</t>
        </is>
      </c>
      <c r="C508" s="8" t="inlineStr">
        <is>
          <t xml:space="preserve">D</t>
        </is>
      </c>
      <c r="D508" s="8">
        <v>2017</v>
      </c>
      <c r="E508" s="5">
        <v>3</v>
      </c>
      <c r="F508" s="2" t="inlineStr">
        <is>
          <t xml:space="preserve">Medium</t>
        </is>
      </c>
      <c r="G508" s="2" t="inlineStr">
        <is>
          <t xml:space="preserve">Number theory</t>
        </is>
      </c>
      <c r="H508" s="2" t="inlineStr">
        <is>
          <t xml:space="preserve">Implementation / Simulation</t>
        </is>
      </c>
      <c r="I508" s="2" t="inlineStr">
        <is>
          <t xml:space="preserve">Dates, Math, Loops</t>
        </is>
      </c>
      <c r="J508" s="2" t="inlineStr">
        <is>
          <t xml:space="preserve">Triple peak repeats every 21252 days: search forward from the given date</t>
        </is>
      </c>
      <c r="K508" s="2" t="inlineStr">
        <is>
          <t xml:space="preserve">Basic / Дати и време</t>
        </is>
      </c>
      <c r="L508" s="9" t="str">
        <f>HYPERLINK("https://arena.olimpiici.com/#/catalog/200/problem/100480","open problem")</f>
        <v>open problem</v>
      </c>
    </row>
    <row r="509">
      <c r="A509" s="2" t="inlineStr">
        <is>
          <t xml:space="preserve">long</t>
        </is>
      </c>
      <c r="B509" s="2" t="inlineStr">
        <is>
          <t xml:space="preserve">NOI - Regional round</t>
        </is>
      </c>
      <c r="C509" s="8" t="inlineStr">
        <is>
          <t xml:space="preserve">D</t>
        </is>
      </c>
      <c r="D509" s="8">
        <v>2018</v>
      </c>
      <c r="E509" s="6">
        <v>4</v>
      </c>
      <c r="F509" s="2" t="inlineStr">
        <is>
          <t xml:space="preserve">Hard</t>
        </is>
      </c>
      <c r="G509" s="2" t="inlineStr">
        <is>
          <t xml:space="preserve">Big numbers</t>
        </is>
      </c>
      <c r="H509" s="2" t="inlineStr">
        <is>
          <t xml:space="preserve">Number theory</t>
        </is>
      </c>
      <c r="I509" s="2" t="inlineStr">
        <is>
          <t xml:space="preserve">Big integers, Strings, Math</t>
        </is>
      </c>
      <c r="J509" s="2" t="inlineStr">
        <is>
          <t xml:space="preserve">Take 10^(n-1) and add the remainder needed to reach the next multiple of k</t>
        </is>
      </c>
      <c r="K509" s="2" t="inlineStr">
        <is>
          <t xml:space="preserve">Дълги числа (Big numbers)</t>
        </is>
      </c>
      <c r="L509" s="9" t="str">
        <f>HYPERLINK("https://arena.olimpiici.com/#/catalog/206/problem/100493","open problem")</f>
        <v>open problem</v>
      </c>
    </row>
    <row r="510">
      <c r="A510" s="2" t="inlineStr">
        <is>
          <t xml:space="preserve">sdnf</t>
        </is>
      </c>
      <c r="B510" s="2" t="inlineStr">
        <is>
          <t xml:space="preserve">NOI - Regional round</t>
        </is>
      </c>
      <c r="C510" s="8" t="inlineStr">
        <is>
          <t xml:space="preserve">D</t>
        </is>
      </c>
      <c r="D510" s="8">
        <v>2018</v>
      </c>
      <c r="E510" s="5">
        <v>3</v>
      </c>
      <c r="F510" s="2" t="inlineStr">
        <is>
          <t xml:space="preserve">Medium</t>
        </is>
      </c>
      <c r="G510" s="2" t="inlineStr">
        <is>
          <t xml:space="preserve">Big numbers</t>
        </is>
      </c>
      <c r="H510" s="2" t="inlineStr">
        <is>
          <t xml:space="preserve">Implementation / Simulation</t>
        </is>
      </c>
      <c r="I510" s="2" t="inlineStr">
        <is>
          <t xml:space="preserve">Big integers, Arrays, Loops</t>
        </is>
      </c>
      <c r="J510" s="2" t="inlineStr">
        <is>
          <t xml:space="preserve">Multiply the factorial digit by digit, then sum the digits</t>
        </is>
      </c>
      <c r="K510" s="2" t="inlineStr">
        <is>
          <t xml:space="preserve">Дълги числа (Big numbers)</t>
        </is>
      </c>
      <c r="L510" s="9" t="str">
        <f>HYPERLINK("https://arena.olimpiici.com/#/catalog/206/problem/100494","open problem")</f>
        <v>open problem</v>
      </c>
    </row>
    <row r="511">
      <c r="A511" s="2" t="inlineStr">
        <is>
          <t xml:space="preserve">solitaire</t>
        </is>
      </c>
      <c r="B511" s="2" t="inlineStr">
        <is>
          <t xml:space="preserve">NOI - Regional round</t>
        </is>
      </c>
      <c r="C511" s="8" t="inlineStr">
        <is>
          <t xml:space="preserve">D</t>
        </is>
      </c>
      <c r="D511" s="8">
        <v>2018</v>
      </c>
      <c r="E511" s="5">
        <v>3</v>
      </c>
      <c r="F511" s="2" t="inlineStr">
        <is>
          <t xml:space="preserve">Medium</t>
        </is>
      </c>
      <c r="G511" s="2" t="inlineStr">
        <is>
          <t xml:space="preserve">Dynamic programming</t>
        </is>
      </c>
      <c r="H511" s="2" t="inlineStr">
        <is>
          <t xml:space="preserve">Grid/Matrix</t>
        </is>
      </c>
      <c r="I511" s="2" t="inlineStr">
        <is>
          <t xml:space="preserve">2D arrays, Grid/Matrix, Strings</t>
        </is>
      </c>
      <c r="J511" s="2" t="inlineStr">
        <is>
          <t xml:space="preserve">Grid DP from bottom-left to top-right taking the maximum card value path</t>
        </is>
      </c>
      <c r="K511" s="2" t="inlineStr">
        <is>
          <t xml:space="preserve">Двумерни и многомерни масиви; Динамично програмиране (Dynamic programming)</t>
        </is>
      </c>
      <c r="L511" s="9" t="str">
        <f>HYPERLINK("https://arena.olimpiici.com/#/catalog/206/problem/100495","open problem")</f>
        <v>open problem</v>
      </c>
    </row>
    <row r="512">
      <c r="A512" s="2" t="inlineStr">
        <is>
          <t xml:space="preserve">grip</t>
        </is>
      </c>
      <c r="B512" s="2" t="inlineStr">
        <is>
          <t xml:space="preserve">NOI - Regional round</t>
        </is>
      </c>
      <c r="C512" s="8" t="inlineStr">
        <is>
          <t xml:space="preserve">D</t>
        </is>
      </c>
      <c r="D512" s="8">
        <v>2019</v>
      </c>
      <c r="E512" s="5">
        <v>3</v>
      </c>
      <c r="F512" s="2" t="inlineStr">
        <is>
          <t xml:space="preserve">Medium</t>
        </is>
      </c>
      <c r="G512" s="2" t="inlineStr">
        <is>
          <t xml:space="preserve">Implementation / Simulation</t>
        </is>
      </c>
      <c r="H512" s="2" t="inlineStr">
        <is>
          <t xml:space="preserve">Math / Formula</t>
        </is>
      </c>
      <c r="I512" s="2" t="inlineStr">
        <is>
          <t xml:space="preserve">Dates, Math, Loops</t>
        </is>
      </c>
      <c r="J512" s="2" t="inlineStr">
        <is>
          <t xml:space="preserve">Step forward day by day, counting only weekdays toward the vacation length</t>
        </is>
      </c>
      <c r="K512" s="2" t="inlineStr">
        <is>
          <t xml:space="preserve">Basic / Дати и време</t>
        </is>
      </c>
      <c r="L512" s="9" t="str">
        <f>HYPERLINK("https://arena.olimpiici.com/#/catalog/401/problem/101094","open problem")</f>
        <v>open problem</v>
      </c>
    </row>
    <row r="513">
      <c r="A513" s="2" t="inlineStr">
        <is>
          <t xml:space="preserve">sequence</t>
        </is>
      </c>
      <c r="B513" s="2" t="inlineStr">
        <is>
          <t xml:space="preserve">NOI - Regional round</t>
        </is>
      </c>
      <c r="C513" s="8" t="inlineStr">
        <is>
          <t xml:space="preserve">D</t>
        </is>
      </c>
      <c r="D513" s="8">
        <v>2019</v>
      </c>
      <c r="E513" s="6">
        <v>4</v>
      </c>
      <c r="F513" s="2" t="inlineStr">
        <is>
          <t xml:space="preserve">Hard</t>
        </is>
      </c>
      <c r="G513" s="2" t="inlineStr">
        <is>
          <t xml:space="preserve">Math / Formula</t>
        </is>
      </c>
      <c r="H513" s="2" t="inlineStr">
        <is>
          <t xml:space="preserve">Binary search</t>
        </is>
      </c>
      <c r="I513" s="2" t="inlineStr">
        <is>
          <t xml:space="preserve">Long long, Math, Loops</t>
        </is>
      </c>
      <c r="J513" s="2" t="inlineStr">
        <is>
          <t xml:space="preserve">Block m has length 2m-1 and holds n twice for m&gt;n: derive the k-th occurrence</t>
        </is>
      </c>
      <c r="K513" s="2" t="inlineStr">
        <is>
          <t xml:space="preserve"/>
        </is>
      </c>
      <c r="L513" s="9" t="str">
        <f>HYPERLINK("https://arena.olimpiici.com/#/catalog/401/problem/101095","open problem")</f>
        <v>open problem</v>
      </c>
    </row>
    <row r="514">
      <c r="A514" s="2" t="inlineStr">
        <is>
          <t xml:space="preserve">square</t>
        </is>
      </c>
      <c r="B514" s="2" t="inlineStr">
        <is>
          <t xml:space="preserve">NOI - Regional round</t>
        </is>
      </c>
      <c r="C514" s="8" t="inlineStr">
        <is>
          <t xml:space="preserve">D</t>
        </is>
      </c>
      <c r="D514" s="8">
        <v>2019</v>
      </c>
      <c r="E514" s="5">
        <v>3</v>
      </c>
      <c r="F514" s="2" t="inlineStr">
        <is>
          <t xml:space="preserve">Medium</t>
        </is>
      </c>
      <c r="G514" s="2" t="inlineStr">
        <is>
          <t xml:space="preserve">Number theory</t>
        </is>
      </c>
      <c r="H514" s="2" t="inlineStr">
        <is>
          <t xml:space="preserve">Math / Formula</t>
        </is>
      </c>
      <c r="I514" s="2" t="inlineStr">
        <is>
          <t xml:space="preserve">Counting array, Math, Long long</t>
        </is>
      </c>
      <c r="J514" s="2" t="inlineStr">
        <is>
          <t xml:space="preserve">Take the max exponent of each prime, round up to even, rebuild c</t>
        </is>
      </c>
      <c r="K514" s="2" t="inlineStr">
        <is>
          <t xml:space="preserve">Математика / НОД - Алгоритъм на Евклид; Математика / Делимост</t>
        </is>
      </c>
      <c r="L514" s="9" t="str">
        <f>HYPERLINK("https://arena.olimpiici.com/#/catalog/401/problem/101096","open problem")</f>
        <v>open problem</v>
      </c>
    </row>
    <row r="515">
      <c r="A515" s="2" t="inlineStr">
        <is>
          <t xml:space="preserve">password</t>
        </is>
      </c>
      <c r="B515" s="2" t="inlineStr">
        <is>
          <t xml:space="preserve">NOI - Regional round</t>
        </is>
      </c>
      <c r="C515" s="8" t="inlineStr">
        <is>
          <t xml:space="preserve">D</t>
        </is>
      </c>
      <c r="D515" s="8">
        <v>2020</v>
      </c>
      <c r="E515" s="6">
        <v>4</v>
      </c>
      <c r="F515" s="2" t="inlineStr">
        <is>
          <t xml:space="preserve">Hard</t>
        </is>
      </c>
      <c r="G515" s="2" t="inlineStr">
        <is>
          <t xml:space="preserve">Greedy</t>
        </is>
      </c>
      <c r="H515" s="2" t="inlineStr">
        <is>
          <t xml:space="preserve">Counting / Frequency arrays</t>
        </is>
      </c>
      <c r="I515" s="2" t="inlineStr">
        <is>
          <t xml:space="preserve">Strings, Counting array, Chars</t>
        </is>
      </c>
      <c r="J515" s="2" t="inlineStr">
        <is>
          <t xml:space="preserve">Break runs of three by substituting the first letter that keeps both constraints</t>
        </is>
      </c>
      <c r="K515" s="2" t="inlineStr">
        <is>
          <t xml:space="preserve"/>
        </is>
      </c>
      <c r="L515" s="9" t="str">
        <f>HYPERLINK("https://arena.olimpiici.com/#/catalog/476/problem/101294","open problem")</f>
        <v>open problem</v>
      </c>
    </row>
    <row r="516">
      <c r="A516" s="2" t="inlineStr">
        <is>
          <t xml:space="preserve">dry</t>
        </is>
      </c>
      <c r="B516" s="2" t="inlineStr">
        <is>
          <t xml:space="preserve">NOI - Regional round</t>
        </is>
      </c>
      <c r="C516" s="8" t="inlineStr">
        <is>
          <t xml:space="preserve">D</t>
        </is>
      </c>
      <c r="D516" s="8">
        <v>2020</v>
      </c>
      <c r="E516" s="5">
        <v>3</v>
      </c>
      <c r="F516" s="2" t="inlineStr">
        <is>
          <t xml:space="preserve">Medium</t>
        </is>
      </c>
      <c r="G516" s="2" t="inlineStr">
        <is>
          <t xml:space="preserve">Prefix sums</t>
        </is>
      </c>
      <c r="H516" s="2" t="inlineStr">
        <is>
          <t xml:space="preserve">Ad hoc / Observation</t>
        </is>
      </c>
      <c r="I516" s="2" t="inlineStr">
        <is>
          <t xml:space="preserve">Arrays, Long long, Loops</t>
        </is>
      </c>
      <c r="J516" s="2" t="inlineStr">
        <is>
          <t xml:space="preserve">Each tub holds min(left wall, right wall) times the spacing and width</t>
        </is>
      </c>
      <c r="K516" s="2" t="inlineStr">
        <is>
          <t xml:space="preserve"/>
        </is>
      </c>
      <c r="L516" s="9" t="str">
        <f>HYPERLINK("https://arena.olimpiici.com/#/catalog/476/problem/101295","open problem")</f>
        <v>open problem</v>
      </c>
    </row>
    <row r="517">
      <c r="A517" s="2" t="inlineStr">
        <is>
          <t xml:space="preserve">restore</t>
        </is>
      </c>
      <c r="B517" s="2" t="inlineStr">
        <is>
          <t xml:space="preserve">NOI - Regional round</t>
        </is>
      </c>
      <c r="C517" s="8" t="inlineStr">
        <is>
          <t xml:space="preserve">D</t>
        </is>
      </c>
      <c r="D517" s="8">
        <v>2020</v>
      </c>
      <c r="E517" s="6">
        <v>4</v>
      </c>
      <c r="F517" s="2" t="inlineStr">
        <is>
          <t xml:space="preserve">Hard</t>
        </is>
      </c>
      <c r="G517" s="2" t="inlineStr">
        <is>
          <t xml:space="preserve">Data structures</t>
        </is>
      </c>
      <c r="H517" s="2" t="inlineStr">
        <is>
          <t xml:space="preserve">Constructive</t>
        </is>
      </c>
      <c r="I517" s="2" t="inlineStr">
        <is>
          <t xml:space="preserve">Vectors, Arrays, Loops</t>
        </is>
      </c>
      <c r="J517" s="2" t="inlineStr">
        <is>
          <t xml:space="preserve">Insert values from largest to smallest at the position given by b_i</t>
        </is>
      </c>
      <c r="K517" s="2" t="inlineStr">
        <is>
          <t xml:space="preserve">STL / vector</t>
        </is>
      </c>
      <c r="L517" s="9" t="str">
        <f>HYPERLINK("https://arena.olimpiici.com/#/catalog/476/problem/101296","open problem")</f>
        <v>open problem</v>
      </c>
    </row>
    <row r="518">
      <c r="A518" s="2" t="inlineStr">
        <is>
          <t xml:space="preserve">suma</t>
        </is>
      </c>
      <c r="B518" s="2" t="inlineStr">
        <is>
          <t xml:space="preserve">NOI - Regional round</t>
        </is>
      </c>
      <c r="C518" s="8" t="inlineStr">
        <is>
          <t xml:space="preserve">D</t>
        </is>
      </c>
      <c r="D518" s="8">
        <v>2021</v>
      </c>
      <c r="E518" s="5">
        <v>3</v>
      </c>
      <c r="F518" s="2" t="inlineStr">
        <is>
          <t xml:space="preserve">Medium</t>
        </is>
      </c>
      <c r="G518" s="2" t="inlineStr">
        <is>
          <t xml:space="preserve">Math / Formula</t>
        </is>
      </c>
      <c r="H518" s="2" t="inlineStr">
        <is>
          <t xml:space="preserve">Prefix sums</t>
        </is>
      </c>
      <c r="I518" s="2" t="inlineStr">
        <is>
          <t xml:space="preserve">Long long, Math, Loops</t>
        </is>
      </c>
      <c r="J518" s="2" t="inlineStr">
        <is>
          <t xml:space="preserve">Digital roots cycle 1..9, so range sums follow from division by nine</t>
        </is>
      </c>
      <c r="K518" s="2" t="inlineStr">
        <is>
          <t xml:space="preserve"/>
        </is>
      </c>
      <c r="L518" s="9" t="str">
        <f>HYPERLINK("https://arena.olimpiici.com/#/catalog/561/problem/101382","open problem")</f>
        <v>open problem</v>
      </c>
    </row>
    <row r="519">
      <c r="A519" s="2" t="inlineStr">
        <is>
          <t xml:space="preserve">swaps</t>
        </is>
      </c>
      <c r="B519" s="2" t="inlineStr">
        <is>
          <t xml:space="preserve">NOI - Regional round</t>
        </is>
      </c>
      <c r="C519" s="8" t="inlineStr">
        <is>
          <t xml:space="preserve">D</t>
        </is>
      </c>
      <c r="D519" s="8">
        <v>2021</v>
      </c>
      <c r="E519" s="5">
        <v>3</v>
      </c>
      <c r="F519" s="2" t="inlineStr">
        <is>
          <t xml:space="preserve">Medium</t>
        </is>
      </c>
      <c r="G519" s="2" t="inlineStr">
        <is>
          <t xml:space="preserve">Ad hoc / Observation</t>
        </is>
      </c>
      <c r="H519" s="2" t="inlineStr">
        <is>
          <t xml:space="preserve">Graph traversal (BFS/DFS)</t>
        </is>
      </c>
      <c r="I519" s="2" t="inlineStr">
        <is>
          <t xml:space="preserve">Arrays, Loops, Counting array</t>
        </is>
      </c>
      <c r="J519" s="2" t="inlineStr">
        <is>
          <t xml:space="preserve">Minimum swaps is n minus the number of permutation cycles</t>
        </is>
      </c>
      <c r="K519" s="2" t="inlineStr">
        <is>
          <t xml:space="preserve">Броене с масив (counting)</t>
        </is>
      </c>
      <c r="L519" s="9" t="str">
        <f>HYPERLINK("https://arena.olimpiici.com/#/catalog/561/problem/101383","open problem")</f>
        <v>open problem</v>
      </c>
    </row>
    <row r="520">
      <c r="A520" s="2" t="inlineStr">
        <is>
          <t xml:space="preserve">expr</t>
        </is>
      </c>
      <c r="B520" s="2" t="inlineStr">
        <is>
          <t xml:space="preserve">NOI - Regional round</t>
        </is>
      </c>
      <c r="C520" s="8" t="inlineStr">
        <is>
          <t xml:space="preserve">D</t>
        </is>
      </c>
      <c r="D520" s="8">
        <v>2021</v>
      </c>
      <c r="E520" s="5">
        <v>3</v>
      </c>
      <c r="F520" s="2" t="inlineStr">
        <is>
          <t xml:space="preserve">Medium</t>
        </is>
      </c>
      <c r="G520" s="2" t="inlineStr">
        <is>
          <t xml:space="preserve">Big numbers</t>
        </is>
      </c>
      <c r="H520" s="2" t="inlineStr">
        <is>
          <t xml:space="preserve">Math / Formula</t>
        </is>
      </c>
      <c r="I520" s="2" t="inlineStr">
        <is>
          <t xml:space="preserve">Big integers, Arrays, Loops</t>
        </is>
      </c>
      <c r="J520" s="2" t="inlineStr">
        <is>
          <t xml:space="preserve">Exact value of a power expression; needs big-number exponentiation</t>
        </is>
      </c>
      <c r="K520" s="2" t="inlineStr">
        <is>
          <t xml:space="preserve">Дълги числа (Big numbers)</t>
        </is>
      </c>
      <c r="L520" s="9" t="str">
        <f>HYPERLINK("https://arena.olimpiici.com/#/catalog/561/problem/101384","open problem")</f>
        <v>open problem</v>
      </c>
    </row>
    <row r="521">
      <c r="A521" s="2" t="inlineStr">
        <is>
          <t xml:space="preserve">game</t>
        </is>
      </c>
      <c r="B521" s="2" t="inlineStr">
        <is>
          <t xml:space="preserve">NOI - Regional round</t>
        </is>
      </c>
      <c r="C521" s="8" t="inlineStr">
        <is>
          <t xml:space="preserve">D</t>
        </is>
      </c>
      <c r="D521" s="8">
        <v>2022</v>
      </c>
      <c r="E521" s="6">
        <v>4</v>
      </c>
      <c r="F521" s="2" t="inlineStr">
        <is>
          <t xml:space="preserve">Hard</t>
        </is>
      </c>
      <c r="G521" s="2" t="inlineStr">
        <is>
          <t xml:space="preserve">Greedy</t>
        </is>
      </c>
      <c r="H521" s="2" t="inlineStr">
        <is>
          <t xml:space="preserve">Sorting</t>
        </is>
      </c>
      <c r="I521" s="2" t="inlineStr">
        <is>
          <t xml:space="preserve">2D arrays, Sorting, Arrays</t>
        </is>
      </c>
      <c r="J521" s="2" t="inlineStr">
        <is>
          <t xml:space="preserve">Each round the row chooser picks the row whose maximum is smallest; alternate roles</t>
        </is>
      </c>
      <c r="K521" s="2" t="inlineStr">
        <is>
          <t xml:space="preserve"/>
        </is>
      </c>
      <c r="L521" s="9" t="str">
        <f>HYPERLINK("https://arena.olimpiici.com/#/catalog/670/problem/101689","open problem")</f>
        <v>open problem</v>
      </c>
    </row>
    <row r="522">
      <c r="A522" s="2" t="inlineStr">
        <is>
          <t xml:space="preserve">parts</t>
        </is>
      </c>
      <c r="B522" s="2" t="inlineStr">
        <is>
          <t xml:space="preserve">NOI - Regional round</t>
        </is>
      </c>
      <c r="C522" s="8" t="inlineStr">
        <is>
          <t xml:space="preserve">D</t>
        </is>
      </c>
      <c r="D522" s="8">
        <v>2022</v>
      </c>
      <c r="E522" s="6">
        <v>4</v>
      </c>
      <c r="F522" s="2" t="inlineStr">
        <is>
          <t xml:space="preserve">Hard</t>
        </is>
      </c>
      <c r="G522" s="2" t="inlineStr">
        <is>
          <t xml:space="preserve">Number theory</t>
        </is>
      </c>
      <c r="H522" s="2" t="inlineStr">
        <is>
          <t xml:space="preserve">Math / Formula</t>
        </is>
      </c>
      <c r="I522" s="2" t="inlineStr">
        <is>
          <t xml:space="preserve">Math, Long long, Loops</t>
        </is>
      </c>
      <c r="J522" s="2" t="inlineStr">
        <is>
          <t xml:space="preserve">Answer is the largest divisor d of N with N/d &gt;= K(K+1)/2</t>
        </is>
      </c>
      <c r="K522" s="2" t="inlineStr">
        <is>
          <t xml:space="preserve"/>
        </is>
      </c>
      <c r="L522" s="9" t="str">
        <f>HYPERLINK("https://arena.olimpiici.com/#/catalog/670/problem/101690","open problem")</f>
        <v>open problem</v>
      </c>
    </row>
    <row r="523">
      <c r="A523" s="2" t="inlineStr">
        <is>
          <t xml:space="preserve">skok</t>
        </is>
      </c>
      <c r="B523" s="2" t="inlineStr">
        <is>
          <t xml:space="preserve">NOI - Regional round</t>
        </is>
      </c>
      <c r="C523" s="8" t="inlineStr">
        <is>
          <t xml:space="preserve">D</t>
        </is>
      </c>
      <c r="D523" s="8">
        <v>2022</v>
      </c>
      <c r="E523" s="5">
        <v>3</v>
      </c>
      <c r="F523" s="2" t="inlineStr">
        <is>
          <t xml:space="preserve">Medium</t>
        </is>
      </c>
      <c r="G523" s="2" t="inlineStr">
        <is>
          <t xml:space="preserve">Greedy</t>
        </is>
      </c>
      <c r="H523" s="2" t="inlineStr">
        <is>
          <t xml:space="preserve">Math / Formula</t>
        </is>
      </c>
      <c r="I523" s="2" t="inlineStr">
        <is>
          <t xml:space="preserve">Sorting, Long long, Arrays</t>
        </is>
      </c>
      <c r="J523" s="2" t="inlineStr">
        <is>
          <t xml:space="preserve">Jump two planks whenever possible; rotten planks force a single step around them</t>
        </is>
      </c>
      <c r="K523" s="2" t="inlineStr">
        <is>
          <t xml:space="preserve"/>
        </is>
      </c>
      <c r="L523" s="9" t="str">
        <f>HYPERLINK("https://arena.olimpiici.com/#/catalog/670/problem/101691","open problem")</f>
        <v>open problem</v>
      </c>
    </row>
    <row r="524">
      <c r="A524" s="2" t="inlineStr">
        <is>
          <t xml:space="preserve">brackets</t>
        </is>
      </c>
      <c r="B524" s="2" t="inlineStr">
        <is>
          <t xml:space="preserve">NOI - Regional round</t>
        </is>
      </c>
      <c r="C524" s="8" t="inlineStr">
        <is>
          <t xml:space="preserve">D</t>
        </is>
      </c>
      <c r="D524" s="8">
        <v>2023</v>
      </c>
      <c r="E524" s="5">
        <v>3</v>
      </c>
      <c r="F524" s="2" t="inlineStr">
        <is>
          <t xml:space="preserve">Medium</t>
        </is>
      </c>
      <c r="G524" s="2" t="inlineStr">
        <is>
          <t xml:space="preserve">Brute force</t>
        </is>
      </c>
      <c r="H524" s="2" t="inlineStr">
        <is>
          <t xml:space="preserve">String processing</t>
        </is>
      </c>
      <c r="I524" s="2" t="inlineStr">
        <is>
          <t xml:space="preserve">Strings, Sets, Bitmask</t>
        </is>
      </c>
      <c r="J524" s="2" t="inlineStr">
        <is>
          <t xml:space="preserve">At most 10 bracket pairs: enumerate subsets to remove and collect distinct results</t>
        </is>
      </c>
      <c r="K524" s="2" t="inlineStr">
        <is>
          <t xml:space="preserve"/>
        </is>
      </c>
      <c r="L524" s="9" t="str">
        <f>HYPERLINK("https://arena.olimpiici.com/#/catalog/747/problem/101922","open problem")</f>
        <v>open problem</v>
      </c>
    </row>
    <row r="525">
      <c r="A525" s="2" t="inlineStr">
        <is>
          <t xml:space="preserve">minesweeper</t>
        </is>
      </c>
      <c r="B525" s="2" t="inlineStr">
        <is>
          <t xml:space="preserve">NOI - Regional round</t>
        </is>
      </c>
      <c r="C525" s="8" t="inlineStr">
        <is>
          <t xml:space="preserve">D</t>
        </is>
      </c>
      <c r="D525" s="8">
        <v>2023</v>
      </c>
      <c r="E525" s="6">
        <v>4</v>
      </c>
      <c r="F525" s="2" t="inlineStr">
        <is>
          <t xml:space="preserve">Hard</t>
        </is>
      </c>
      <c r="G525" s="2" t="inlineStr">
        <is>
          <t xml:space="preserve">Dynamic programming</t>
        </is>
      </c>
      <c r="H525" s="2" t="inlineStr">
        <is>
          <t xml:space="preserve">Combinatorics</t>
        </is>
      </c>
      <c r="I525" s="2" t="inlineStr">
        <is>
          <t xml:space="preserve">Arrays, Modular arithmetic, Long long</t>
        </is>
      </c>
      <c r="J525" s="2" t="inlineStr">
        <is>
          <t xml:space="preserve">DP over the mine row; ambiguous local patterns are excluded, giving a Fibonacci-like count</t>
        </is>
      </c>
      <c r="K525" s="2" t="inlineStr">
        <is>
          <t xml:space="preserve"/>
        </is>
      </c>
      <c r="L525" s="9" t="str">
        <f>HYPERLINK("https://arena.olimpiici.com/#/catalog/747/problem/101923","open problem")</f>
        <v>open problem</v>
      </c>
    </row>
    <row r="526">
      <c r="A526" s="2" t="inlineStr">
        <is>
          <t xml:space="preserve">red</t>
        </is>
      </c>
      <c r="B526" s="2" t="inlineStr">
        <is>
          <t xml:space="preserve">NOI - Regional round</t>
        </is>
      </c>
      <c r="C526" s="8" t="inlineStr">
        <is>
          <t xml:space="preserve">D</t>
        </is>
      </c>
      <c r="D526" s="8">
        <v>2023</v>
      </c>
      <c r="E526" s="5">
        <v>3</v>
      </c>
      <c r="F526" s="2" t="inlineStr">
        <is>
          <t xml:space="preserve">Medium</t>
        </is>
      </c>
      <c r="G526" s="2" t="inlineStr">
        <is>
          <t xml:space="preserve">Counting / Frequency arrays</t>
        </is>
      </c>
      <c r="H526" s="2" t="inlineStr">
        <is>
          <t xml:space="preserve">Hashing / Maps</t>
        </is>
      </c>
      <c r="I526" s="2" t="inlineStr">
        <is>
          <t xml:space="preserve">Arrays, Vectors, Loops</t>
        </is>
      </c>
      <c r="J526" s="2" t="inlineStr">
        <is>
          <t xml:space="preserve">Precompute previous and next occurrence of each value, then answer queries in O(1)</t>
        </is>
      </c>
      <c r="K526" s="2" t="inlineStr">
        <is>
          <t xml:space="preserve"/>
        </is>
      </c>
      <c r="L526" s="9" t="str">
        <f>HYPERLINK("https://arena.olimpiici.com/#/catalog/747/problem/101924","open problem")</f>
        <v>open problem</v>
      </c>
    </row>
    <row r="527">
      <c r="A527" s="2" t="inlineStr">
        <is>
          <t xml:space="preserve">monopal</t>
        </is>
      </c>
      <c r="B527" s="2" t="inlineStr">
        <is>
          <t xml:space="preserve">NOI - Regional round</t>
        </is>
      </c>
      <c r="C527" s="8" t="inlineStr">
        <is>
          <t xml:space="preserve">D</t>
        </is>
      </c>
      <c r="D527" s="8">
        <v>2024</v>
      </c>
      <c r="E527" s="7">
        <v>5</v>
      </c>
      <c r="F527" s="2" t="inlineStr">
        <is>
          <t xml:space="preserve">Very hard</t>
        </is>
      </c>
      <c r="G527" s="2" t="inlineStr">
        <is>
          <t xml:space="preserve">Greedy</t>
        </is>
      </c>
      <c r="H527" s="2" t="inlineStr">
        <is>
          <t xml:space="preserve">Data structures</t>
        </is>
      </c>
      <c r="I527" s="2" t="inlineStr">
        <is>
          <t xml:space="preserve">Two pointers, Arrays, Long long</t>
        </is>
      </c>
      <c r="J527" s="2" t="inlineStr">
        <is>
          <t xml:space="preserve">Pair equal values from the ends, counting adjacent swaps with a BIT</t>
        </is>
      </c>
      <c r="K527" s="2" t="inlineStr">
        <is>
          <t xml:space="preserve"/>
        </is>
      </c>
      <c r="L527" s="9" t="str">
        <f>HYPERLINK("https://arena.olimpiici.com/#/catalog/799/problem/102108","open problem")</f>
        <v>open problem</v>
      </c>
    </row>
    <row r="528">
      <c r="A528" s="2" t="inlineStr">
        <is>
          <t xml:space="preserve">rectcut</t>
        </is>
      </c>
      <c r="B528" s="2" t="inlineStr">
        <is>
          <t xml:space="preserve">NOI - Regional round</t>
        </is>
      </c>
      <c r="C528" s="8" t="inlineStr">
        <is>
          <t xml:space="preserve">D</t>
        </is>
      </c>
      <c r="D528" s="8">
        <v>2024</v>
      </c>
      <c r="E528" s="4">
        <v>2</v>
      </c>
      <c r="F528" s="2" t="inlineStr">
        <is>
          <t xml:space="preserve">Easy</t>
        </is>
      </c>
      <c r="G528" s="2" t="inlineStr">
        <is>
          <t xml:space="preserve">Implementation / Simulation</t>
        </is>
      </c>
      <c r="H528" s="2" t="inlineStr">
        <is>
          <t xml:space="preserve">Math / Formula</t>
        </is>
      </c>
      <c r="I528" s="2" t="inlineStr">
        <is>
          <t xml:space="preserve">Long long, Math, Loops</t>
        </is>
      </c>
      <c r="J528" s="2" t="inlineStr">
        <is>
          <t xml:space="preserve">Each cut clamps one coordinate; the area follows from the final bounds</t>
        </is>
      </c>
      <c r="K528" s="2" t="inlineStr">
        <is>
          <t xml:space="preserve"/>
        </is>
      </c>
      <c r="L528" s="9" t="str">
        <f>HYPERLINK("https://arena.olimpiici.com/#/catalog/799/problem/102109","open problem")</f>
        <v>open problem</v>
      </c>
    </row>
    <row r="529">
      <c r="A529" s="2" t="inlineStr">
        <is>
          <t xml:space="preserve">number</t>
        </is>
      </c>
      <c r="B529" s="2" t="inlineStr">
        <is>
          <t xml:space="preserve">NOI - Regional round</t>
        </is>
      </c>
      <c r="C529" s="8" t="inlineStr">
        <is>
          <t xml:space="preserve">D</t>
        </is>
      </c>
      <c r="D529" s="8">
        <v>2024</v>
      </c>
      <c r="E529" s="5">
        <v>3</v>
      </c>
      <c r="F529" s="2" t="inlineStr">
        <is>
          <t xml:space="preserve">Medium</t>
        </is>
      </c>
      <c r="G529" s="2" t="inlineStr">
        <is>
          <t xml:space="preserve">Big numbers</t>
        </is>
      </c>
      <c r="H529" s="2" t="inlineStr">
        <is>
          <t xml:space="preserve">Number theory</t>
        </is>
      </c>
      <c r="I529" s="2" t="inlineStr">
        <is>
          <t xml:space="preserve">Big integers, Strings, Math</t>
        </is>
      </c>
      <c r="J529" s="2" t="inlineStr">
        <is>
          <t xml:space="preserve">Horner's rule with big-number multiply-add to convert a 100-digit base-b number</t>
        </is>
      </c>
      <c r="K529" s="2" t="inlineStr">
        <is>
          <t xml:space="preserve"/>
        </is>
      </c>
      <c r="L529" s="9" t="str">
        <f>HYPERLINK("https://arena.olimpiici.com/#/catalog/799/problem/102110","open problem")</f>
        <v>open problem</v>
      </c>
    </row>
    <row r="530">
      <c r="A530" s="2" t="inlineStr">
        <is>
          <t xml:space="preserve">balance</t>
        </is>
      </c>
      <c r="B530" s="2" t="inlineStr">
        <is>
          <t xml:space="preserve">NOI - Regional round</t>
        </is>
      </c>
      <c r="C530" s="8" t="inlineStr">
        <is>
          <t xml:space="preserve">D</t>
        </is>
      </c>
      <c r="D530" s="8">
        <v>2025</v>
      </c>
      <c r="E530" s="4">
        <v>2</v>
      </c>
      <c r="F530" s="2" t="inlineStr">
        <is>
          <t xml:space="preserve">Easy</t>
        </is>
      </c>
      <c r="G530" s="2" t="inlineStr">
        <is>
          <t xml:space="preserve">Prefix sums</t>
        </is>
      </c>
      <c r="H530" s="2" t="inlineStr">
        <is>
          <t xml:space="preserve">Ad hoc / Observation</t>
        </is>
      </c>
      <c r="I530" s="2" t="inlineStr">
        <is>
          <t xml:space="preserve">Prefix sums, Long long, Memory optimization</t>
        </is>
      </c>
      <c r="J530" s="2" t="inlineStr">
        <is>
          <t xml:space="preserve">Scan prefix sums for the index where the left and right sums match</t>
        </is>
      </c>
      <c r="K530" s="2" t="inlineStr">
        <is>
          <t xml:space="preserve"/>
        </is>
      </c>
      <c r="L530" s="9" t="str">
        <f>HYPERLINK("https://arena.olimpiici.com/#/catalog/866/problem/102329","open problem")</f>
        <v>open problem</v>
      </c>
    </row>
    <row r="531">
      <c r="A531" s="2" t="inlineStr">
        <is>
          <t xml:space="preserve">long</t>
        </is>
      </c>
      <c r="B531" s="2" t="inlineStr">
        <is>
          <t xml:space="preserve">NOI - Regional round</t>
        </is>
      </c>
      <c r="C531" s="8" t="inlineStr">
        <is>
          <t xml:space="preserve">D</t>
        </is>
      </c>
      <c r="D531" s="8">
        <v>2025</v>
      </c>
      <c r="E531" s="5">
        <v>3</v>
      </c>
      <c r="F531" s="2" t="inlineStr">
        <is>
          <t xml:space="preserve">Medium</t>
        </is>
      </c>
      <c r="G531" s="2" t="inlineStr">
        <is>
          <t xml:space="preserve">Math / Formula</t>
        </is>
      </c>
      <c r="H531" s="2" t="inlineStr">
        <is>
          <t xml:space="preserve">String processing</t>
        </is>
      </c>
      <c r="I531" s="2" t="inlineStr">
        <is>
          <t xml:space="preserve">Long long, Strings, Counting array</t>
        </is>
      </c>
      <c r="J531" s="2" t="inlineStr">
        <is>
          <t xml:space="preserve">Locate Champernowne digits by block, then compute the product and digit counts</t>
        </is>
      </c>
      <c r="K531" s="2" t="inlineStr">
        <is>
          <t xml:space="preserve"/>
        </is>
      </c>
      <c r="L531" s="9" t="str">
        <f>HYPERLINK("https://arena.olimpiici.com/#/catalog/866/problem/102330","open problem")</f>
        <v>open problem</v>
      </c>
    </row>
    <row r="532">
      <c r="A532" s="2" t="inlineStr">
        <is>
          <t xml:space="preserve">chocolate</t>
        </is>
      </c>
      <c r="B532" s="2" t="inlineStr">
        <is>
          <t xml:space="preserve">NOI - Regional round</t>
        </is>
      </c>
      <c r="C532" s="8" t="inlineStr">
        <is>
          <t xml:space="preserve">D</t>
        </is>
      </c>
      <c r="D532" s="8">
        <v>2025</v>
      </c>
      <c r="E532" s="6">
        <v>4</v>
      </c>
      <c r="F532" s="2" t="inlineStr">
        <is>
          <t xml:space="preserve">Hard</t>
        </is>
      </c>
      <c r="G532" s="2" t="inlineStr">
        <is>
          <t xml:space="preserve">Math / Formula</t>
        </is>
      </c>
      <c r="H532" s="2" t="inlineStr">
        <is>
          <t xml:space="preserve">Number theory</t>
        </is>
      </c>
      <c r="I532" s="2" t="inlineStr">
        <is>
          <t xml:space="preserve">Math, Long long, Loops</t>
        </is>
      </c>
      <c r="J532" s="2" t="inlineStr">
        <is>
          <t xml:space="preserve">Try each split of rows/columns among K pieces; the answer maximises one rectangle</t>
        </is>
      </c>
      <c r="K532" s="2" t="inlineStr">
        <is>
          <t xml:space="preserve"/>
        </is>
      </c>
      <c r="L532" s="9" t="str">
        <f>HYPERLINK("https://arena.olimpiici.com/#/catalog/866/problem/102331","open problem")</f>
        <v>open problem</v>
      </c>
    </row>
    <row r="533">
      <c r="A533" s="2" t="inlineStr">
        <is>
          <t xml:space="preserve">fashion</t>
        </is>
      </c>
      <c r="B533" s="2" t="inlineStr">
        <is>
          <t xml:space="preserve">NOI - Regional round</t>
        </is>
      </c>
      <c r="C533" s="8" t="inlineStr">
        <is>
          <t xml:space="preserve">D</t>
        </is>
      </c>
      <c r="D533" s="8">
        <v>2026</v>
      </c>
      <c r="E533" s="5">
        <v>3</v>
      </c>
      <c r="F533" s="2" t="inlineStr">
        <is>
          <t xml:space="preserve">Medium</t>
        </is>
      </c>
      <c r="G533" s="2" t="inlineStr">
        <is>
          <t xml:space="preserve">Math / Formula</t>
        </is>
      </c>
      <c r="H533" s="2" t="inlineStr">
        <is>
          <t xml:space="preserve">Greedy</t>
        </is>
      </c>
      <c r="I533" s="2" t="inlineStr">
        <is>
          <t xml:space="preserve">Math, Long long</t>
        </is>
      </c>
      <c r="J533" s="2" t="inlineStr">
        <is>
          <t xml:space="preserve">Worst case pigeonhole: take enough shoes and bags to force a matching colour</t>
        </is>
      </c>
      <c r="K533" s="2" t="inlineStr">
        <is>
          <t xml:space="preserve">Greedy; Математика</t>
        </is>
      </c>
      <c r="L533" s="9" t="str">
        <f>HYPERLINK("https://arena.olimpiici.com/#/catalog/929/problem/102614","open problem")</f>
        <v>open problem</v>
      </c>
    </row>
    <row r="534">
      <c r="A534" s="2" t="inlineStr">
        <is>
          <t xml:space="preserve">period</t>
        </is>
      </c>
      <c r="B534" s="2" t="inlineStr">
        <is>
          <t xml:space="preserve">NOI - Regional round</t>
        </is>
      </c>
      <c r="C534" s="8" t="inlineStr">
        <is>
          <t xml:space="preserve">D</t>
        </is>
      </c>
      <c r="D534" s="8">
        <v>2026</v>
      </c>
      <c r="E534" s="6">
        <v>4</v>
      </c>
      <c r="F534" s="2" t="inlineStr">
        <is>
          <t xml:space="preserve">Hard</t>
        </is>
      </c>
      <c r="G534" s="2" t="inlineStr">
        <is>
          <t xml:space="preserve">Math / Formula</t>
        </is>
      </c>
      <c r="H534" s="2" t="inlineStr">
        <is>
          <t xml:space="preserve">Number theory</t>
        </is>
      </c>
      <c r="I534" s="2" t="inlineStr">
        <is>
          <t xml:space="preserve">Arrays, Math, Long long</t>
        </is>
      </c>
      <c r="J534" s="2" t="inlineStr">
        <is>
          <t xml:space="preserve">Long division of 1/n detects the period, then index into it for positions L..R</t>
        </is>
      </c>
      <c r="K534" s="2" t="inlineStr">
        <is>
          <t xml:space="preserve">Периодичност</t>
        </is>
      </c>
      <c r="L534" s="9" t="str">
        <f>HYPERLINK("https://arena.olimpiici.com/#/catalog/929/problem/102615","open problem")</f>
        <v>open problem</v>
      </c>
    </row>
    <row r="535">
      <c r="A535" s="2" t="inlineStr">
        <is>
          <t xml:space="preserve">rect</t>
        </is>
      </c>
      <c r="B535" s="2" t="inlineStr">
        <is>
          <t xml:space="preserve">NOI - Regional round</t>
        </is>
      </c>
      <c r="C535" s="8" t="inlineStr">
        <is>
          <t xml:space="preserve">D</t>
        </is>
      </c>
      <c r="D535" s="8">
        <v>2026</v>
      </c>
      <c r="E535" s="6">
        <v>4</v>
      </c>
      <c r="F535" s="2" t="inlineStr">
        <is>
          <t xml:space="preserve">Hard</t>
        </is>
      </c>
      <c r="G535" s="2" t="inlineStr">
        <is>
          <t xml:space="preserve">Grid/Matrix</t>
        </is>
      </c>
      <c r="H535" s="2" t="inlineStr">
        <is>
          <t xml:space="preserve">Counting / Frequency arrays</t>
        </is>
      </c>
      <c r="I535" s="2" t="inlineStr">
        <is>
          <t xml:space="preserve">2D arrays, Grid/Matrix, Long long</t>
        </is>
      </c>
      <c r="J535" s="2" t="inlineStr">
        <is>
          <t xml:space="preserve">Sum perimeters directly; paint needs the union of the edge segments</t>
        </is>
      </c>
      <c r="K535" s="2" t="inlineStr">
        <is>
          <t xml:space="preserve">Двумерни и многомерни масиви</t>
        </is>
      </c>
      <c r="L535" s="9" t="str">
        <f>HYPERLINK("https://arena.olimpiici.com/#/catalog/929/problem/102616","open problem")</f>
        <v>open problem</v>
      </c>
    </row>
    <row r="536">
      <c r="A536" s="2" t="inlineStr">
        <is>
          <t xml:space="preserve">disk</t>
        </is>
      </c>
      <c r="B536" s="2" t="inlineStr">
        <is>
          <t xml:space="preserve">Spring tournament</t>
        </is>
      </c>
      <c r="C536" s="8" t="inlineStr">
        <is>
          <t xml:space="preserve">C</t>
        </is>
      </c>
      <c r="D536" s="8">
        <v>2008</v>
      </c>
      <c r="E536" s="6">
        <v>4</v>
      </c>
      <c r="F536" s="2" t="inlineStr">
        <is>
          <t xml:space="preserve">Hard</t>
        </is>
      </c>
      <c r="G536" s="2" t="inlineStr">
        <is>
          <t xml:space="preserve">Dynamic programming</t>
        </is>
      </c>
      <c r="H536" s="2" t="inlineStr">
        <is>
          <t xml:space="preserve">Combinatorics</t>
        </is>
      </c>
      <c r="I536" s="2" t="inlineStr">
        <is>
          <t xml:space="preserve">2D arrays, Long long, Arrays</t>
        </is>
      </c>
      <c r="J536" s="2" t="inlineStr">
        <is>
          <t xml:space="preserve">Ballot-style DP counting push/pop sequences with the stack capped at k</t>
        </is>
      </c>
      <c r="K536" s="2" t="inlineStr">
        <is>
          <t xml:space="preserve"/>
        </is>
      </c>
      <c r="L536" s="9" t="str">
        <f>HYPERLINK("https://arena.olimpiici.com/#/catalog/260/problem/100743","open problem")</f>
        <v>open problem</v>
      </c>
    </row>
    <row r="537">
      <c r="A537" s="2" t="inlineStr">
        <is>
          <t xml:space="preserve">segm</t>
        </is>
      </c>
      <c r="B537" s="2" t="inlineStr">
        <is>
          <t xml:space="preserve">Spring tournament</t>
        </is>
      </c>
      <c r="C537" s="8" t="inlineStr">
        <is>
          <t xml:space="preserve">C</t>
        </is>
      </c>
      <c r="D537" s="8">
        <v>2008</v>
      </c>
      <c r="E537" s="5">
        <v>3</v>
      </c>
      <c r="F537" s="2" t="inlineStr">
        <is>
          <t xml:space="preserve">Medium</t>
        </is>
      </c>
      <c r="G537" s="2" t="inlineStr">
        <is>
          <t xml:space="preserve">Counting / Frequency arrays</t>
        </is>
      </c>
      <c r="H537" s="2" t="inlineStr">
        <is>
          <t xml:space="preserve">Math / Formula</t>
        </is>
      </c>
      <c r="I537" s="2" t="inlineStr">
        <is>
          <t xml:space="preserve">Arrays, Math, Loops</t>
        </is>
      </c>
      <c r="J537" s="2" t="inlineStr">
        <is>
          <t xml:space="preserve">Mark both point sets, join pairs at distance c and measure the uncovered length</t>
        </is>
      </c>
      <c r="K537" s="2" t="inlineStr">
        <is>
          <t xml:space="preserve"/>
        </is>
      </c>
      <c r="L537" s="9" t="str">
        <f>HYPERLINK("https://arena.olimpiici.com/#/catalog/260/problem/100744","open problem")</f>
        <v>open problem</v>
      </c>
    </row>
    <row r="538">
      <c r="A538" s="2" t="inlineStr">
        <is>
          <t xml:space="preserve">subseq</t>
        </is>
      </c>
      <c r="B538" s="2" t="inlineStr">
        <is>
          <t xml:space="preserve">Spring tournament</t>
        </is>
      </c>
      <c r="C538" s="8" t="inlineStr">
        <is>
          <t xml:space="preserve">C</t>
        </is>
      </c>
      <c r="D538" s="8">
        <v>2008</v>
      </c>
      <c r="E538" s="4">
        <v>2</v>
      </c>
      <c r="F538" s="2" t="inlineStr">
        <is>
          <t xml:space="preserve">Easy</t>
        </is>
      </c>
      <c r="G538" s="2" t="inlineStr">
        <is>
          <t xml:space="preserve">Two pointers / Sliding window</t>
        </is>
      </c>
      <c r="H538" s="2" t="inlineStr">
        <is>
          <t xml:space="preserve">Prefix sums</t>
        </is>
      </c>
      <c r="I538" s="2" t="inlineStr">
        <is>
          <t xml:space="preserve">Two pointers, Long long, Arrays</t>
        </is>
      </c>
      <c r="J538" s="2" t="inlineStr">
        <is>
          <t xml:space="preserve">All values are positive, so a sliding window finds every subarray summing to S</t>
        </is>
      </c>
      <c r="K538" s="2" t="inlineStr">
        <is>
          <t xml:space="preserve">Метод на показалките / 2-pointers</t>
        </is>
      </c>
      <c r="L538" s="9" t="str">
        <f>HYPERLINK("https://arena.olimpiici.com/#/catalog/260/problem/100745","open problem")</f>
        <v>open problem</v>
      </c>
    </row>
    <row r="539">
      <c r="A539" s="2" t="inlineStr">
        <is>
          <t xml:space="preserve">kabel</t>
        </is>
      </c>
      <c r="B539" s="2" t="inlineStr">
        <is>
          <t xml:space="preserve">Spring tournament</t>
        </is>
      </c>
      <c r="C539" s="8" t="inlineStr">
        <is>
          <t xml:space="preserve">C</t>
        </is>
      </c>
      <c r="D539" s="8">
        <v>2009</v>
      </c>
      <c r="E539" s="5">
        <v>3</v>
      </c>
      <c r="F539" s="2" t="inlineStr">
        <is>
          <t xml:space="preserve">Medium</t>
        </is>
      </c>
      <c r="G539" s="2" t="inlineStr">
        <is>
          <t xml:space="preserve">Dynamic programming</t>
        </is>
      </c>
      <c r="H539" s="2" t="inlineStr">
        <is>
          <t xml:space="preserve">Greedy</t>
        </is>
      </c>
      <c r="I539" s="2" t="inlineStr">
        <is>
          <t xml:space="preserve">2D arrays, Arrays, Long long</t>
        </is>
      </c>
      <c r="J539" s="2" t="inlineStr">
        <is>
          <t xml:space="preserve">Knapsack over shops with the discounted price kicking in at R_i metres</t>
        </is>
      </c>
      <c r="K539" s="2" t="inlineStr">
        <is>
          <t xml:space="preserve"/>
        </is>
      </c>
      <c r="L539" s="9" t="str">
        <f>HYPERLINK("https://arena.olimpiici.com/#/catalog/266/problem/100759","open problem")</f>
        <v>open problem</v>
      </c>
    </row>
    <row r="540">
      <c r="A540" s="2" t="inlineStr">
        <is>
          <t xml:space="preserve">cross</t>
        </is>
      </c>
      <c r="B540" s="2" t="inlineStr">
        <is>
          <t xml:space="preserve">Spring tournament</t>
        </is>
      </c>
      <c r="C540" s="8" t="inlineStr">
        <is>
          <t xml:space="preserve">C</t>
        </is>
      </c>
      <c r="D540" s="8">
        <v>2009</v>
      </c>
      <c r="E540" s="6">
        <v>4</v>
      </c>
      <c r="F540" s="2" t="inlineStr">
        <is>
          <t xml:space="preserve">Hard</t>
        </is>
      </c>
      <c r="G540" s="2" t="inlineStr">
        <is>
          <t xml:space="preserve">Graph traversal (BFS/DFS)</t>
        </is>
      </c>
      <c r="H540" s="2" t="inlineStr">
        <is>
          <t xml:space="preserve">Shortest path</t>
        </is>
      </c>
      <c r="I540" s="2" t="inlineStr">
        <is>
          <t xml:space="preserve">Queues, Vectors, Arrays</t>
        </is>
      </c>
      <c r="J540" s="2" t="inlineStr">
        <is>
          <t xml:space="preserve">BFS from both homes and both destinations; a crossing lies on both shortest-path sets</t>
        </is>
      </c>
      <c r="K540" s="2" t="inlineStr">
        <is>
          <t xml:space="preserve"/>
        </is>
      </c>
      <c r="L540" s="9" t="str">
        <f>HYPERLINK("https://arena.olimpiici.com/#/catalog/266/problem/100760","open problem")</f>
        <v>open problem</v>
      </c>
    </row>
    <row r="541">
      <c r="A541" s="2" t="inlineStr">
        <is>
          <t xml:space="preserve">string</t>
        </is>
      </c>
      <c r="B541" s="2" t="inlineStr">
        <is>
          <t xml:space="preserve">Spring tournament</t>
        </is>
      </c>
      <c r="C541" s="8" t="inlineStr">
        <is>
          <t xml:space="preserve">C</t>
        </is>
      </c>
      <c r="D541" s="8">
        <v>2009</v>
      </c>
      <c r="E541" s="5">
        <v>3</v>
      </c>
      <c r="F541" s="2" t="inlineStr">
        <is>
          <t xml:space="preserve">Medium</t>
        </is>
      </c>
      <c r="G541" s="2" t="inlineStr">
        <is>
          <t xml:space="preserve">Combinatorics</t>
        </is>
      </c>
      <c r="H541" s="2" t="inlineStr">
        <is>
          <t xml:space="preserve">Constructive</t>
        </is>
      </c>
      <c r="I541" s="2" t="inlineStr">
        <is>
          <t xml:space="preserve">Arrays, Long long, Strings</t>
        </is>
      </c>
      <c r="J541" s="2" t="inlineStr">
        <is>
          <t xml:space="preserve">Factorial number system: pick each letter by dividing k by (n-i)!</t>
        </is>
      </c>
      <c r="K541" s="2" t="inlineStr">
        <is>
          <t xml:space="preserve"/>
        </is>
      </c>
      <c r="L541" s="9" t="str">
        <f>HYPERLINK("https://arena.olimpiici.com/#/catalog/266/problem/100761","open problem")</f>
        <v>open problem</v>
      </c>
    </row>
    <row r="542">
      <c r="A542" s="2" t="inlineStr">
        <is>
          <t xml:space="preserve">game</t>
        </is>
      </c>
      <c r="B542" s="2" t="inlineStr">
        <is>
          <t xml:space="preserve">Spring tournament</t>
        </is>
      </c>
      <c r="C542" s="8" t="inlineStr">
        <is>
          <t xml:space="preserve">C</t>
        </is>
      </c>
      <c r="D542" s="8">
        <v>2010</v>
      </c>
      <c r="E542" s="5">
        <v>3</v>
      </c>
      <c r="F542" s="2" t="inlineStr">
        <is>
          <t xml:space="preserve">Medium</t>
        </is>
      </c>
      <c r="G542" s="2" t="inlineStr">
        <is>
          <t xml:space="preserve">Dynamic programming</t>
        </is>
      </c>
      <c r="H542" s="2" t="inlineStr">
        <is>
          <t xml:space="preserve">Game theory</t>
        </is>
      </c>
      <c r="I542" s="2" t="inlineStr">
        <is>
          <t xml:space="preserve">Arrays, Recursion, Long long</t>
        </is>
      </c>
      <c r="J542" s="2" t="inlineStr">
        <is>
          <t xml:space="preserve">Minimax up the complete binary tree, alternating max and min at each level</t>
        </is>
      </c>
      <c r="K542" s="2" t="inlineStr">
        <is>
          <t xml:space="preserve"/>
        </is>
      </c>
      <c r="L542" s="9" t="str">
        <f>HYPERLINK("https://arena.olimpiici.com/#/catalog/272/problem/100775","open problem")</f>
        <v>open problem</v>
      </c>
    </row>
    <row r="543">
      <c r="A543" s="2" t="inlineStr">
        <is>
          <t xml:space="preserve">wordfix</t>
        </is>
      </c>
      <c r="B543" s="2" t="inlineStr">
        <is>
          <t xml:space="preserve">Spring tournament</t>
        </is>
      </c>
      <c r="C543" s="8" t="inlineStr">
        <is>
          <t xml:space="preserve">C</t>
        </is>
      </c>
      <c r="D543" s="8">
        <v>2010</v>
      </c>
      <c r="E543" s="6">
        <v>4</v>
      </c>
      <c r="F543" s="2" t="inlineStr">
        <is>
          <t xml:space="preserve">Hard</t>
        </is>
      </c>
      <c r="G543" s="2" t="inlineStr">
        <is>
          <t xml:space="preserve">Greedy</t>
        </is>
      </c>
      <c r="H543" s="2" t="inlineStr">
        <is>
          <t xml:space="preserve">Counting / Frequency arrays</t>
        </is>
      </c>
      <c r="I543" s="2" t="inlineStr">
        <is>
          <t xml:space="preserve">Strings, Counting array, Long long</t>
        </is>
      </c>
      <c r="J543" s="2" t="inlineStr">
        <is>
          <t xml:space="preserve">Match each letter's occurrences in order; the cost is the sum of index displacements</t>
        </is>
      </c>
      <c r="K543" s="2" t="inlineStr">
        <is>
          <t xml:space="preserve"/>
        </is>
      </c>
      <c r="L543" s="9" t="str">
        <f>HYPERLINK("https://arena.olimpiici.com/#/catalog/272/problem/100776","open problem")</f>
        <v>open problem</v>
      </c>
    </row>
    <row r="544">
      <c r="A544" s="2" t="inlineStr">
        <is>
          <t xml:space="preserve">fiboprimes</t>
        </is>
      </c>
      <c r="B544" s="2" t="inlineStr">
        <is>
          <t xml:space="preserve">Spring tournament</t>
        </is>
      </c>
      <c r="C544" s="8" t="inlineStr">
        <is>
          <t xml:space="preserve">C</t>
        </is>
      </c>
      <c r="D544" s="8">
        <v>2010</v>
      </c>
      <c r="E544" s="6">
        <v>4</v>
      </c>
      <c r="F544" s="2" t="inlineStr">
        <is>
          <t xml:space="preserve">Hard</t>
        </is>
      </c>
      <c r="G544" s="2" t="inlineStr">
        <is>
          <t xml:space="preserve">Recursion / Backtracking</t>
        </is>
      </c>
      <c r="H544" s="2" t="inlineStr">
        <is>
          <t xml:space="preserve">Number theory</t>
        </is>
      </c>
      <c r="I544" s="2" t="inlineStr">
        <is>
          <t xml:space="preserve">Maps, Recursion, Long long</t>
        </is>
      </c>
      <c r="J544" s="2" t="inlineStr">
        <is>
          <t xml:space="preserve">Memoised search over divisions by Fibonacci numbers, counting primes along the way</t>
        </is>
      </c>
      <c r="K544" s="2" t="inlineStr">
        <is>
          <t xml:space="preserve"/>
        </is>
      </c>
      <c r="L544" s="9" t="str">
        <f>HYPERLINK("https://arena.olimpiici.com/#/catalog/272/problem/100777","open problem")</f>
        <v>open problem</v>
      </c>
    </row>
    <row r="545">
      <c r="A545" s="2" t="inlineStr">
        <is>
          <t xml:space="preserve">game</t>
        </is>
      </c>
      <c r="B545" s="2" t="inlineStr">
        <is>
          <t xml:space="preserve">Spring tournament</t>
        </is>
      </c>
      <c r="C545" s="8" t="inlineStr">
        <is>
          <t xml:space="preserve">C</t>
        </is>
      </c>
      <c r="D545" s="8">
        <v>2011</v>
      </c>
      <c r="E545" s="5">
        <v>3</v>
      </c>
      <c r="F545" s="2" t="inlineStr">
        <is>
          <t xml:space="preserve">Medium</t>
        </is>
      </c>
      <c r="G545" s="2" t="inlineStr">
        <is>
          <t xml:space="preserve">Dynamic programming</t>
        </is>
      </c>
      <c r="H545" s="2" t="inlineStr">
        <is>
          <t xml:space="preserve">Game theory</t>
        </is>
      </c>
      <c r="I545" s="2" t="inlineStr">
        <is>
          <t xml:space="preserve">Arrays, Loops, Arrays</t>
        </is>
      </c>
      <c r="J545" s="2" t="inlineStr">
        <is>
          <t xml:space="preserve">Win/lose DP over the pile size with each player's own move set</t>
        </is>
      </c>
      <c r="K545" s="2" t="inlineStr">
        <is>
          <t xml:space="preserve">Игри / Теория на игрите; Динамично програмиране (Dynamic programming)</t>
        </is>
      </c>
      <c r="L545" s="9" t="str">
        <f>HYPERLINK("https://arena.olimpiici.com/#/catalog/278/problem/100790","open problem")</f>
        <v>open problem</v>
      </c>
    </row>
    <row r="546">
      <c r="A546" s="2" t="inlineStr">
        <is>
          <t xml:space="preserve">suma</t>
        </is>
      </c>
      <c r="B546" s="2" t="inlineStr">
        <is>
          <t xml:space="preserve">Spring tournament</t>
        </is>
      </c>
      <c r="C546" s="8" t="inlineStr">
        <is>
          <t xml:space="preserve">C</t>
        </is>
      </c>
      <c r="D546" s="8">
        <v>2011</v>
      </c>
      <c r="E546" s="5">
        <v>3</v>
      </c>
      <c r="F546" s="2" t="inlineStr">
        <is>
          <t xml:space="preserve">Medium</t>
        </is>
      </c>
      <c r="G546" s="2" t="inlineStr">
        <is>
          <t xml:space="preserve">Prefix sums</t>
        </is>
      </c>
      <c r="H546" s="2" t="inlineStr">
        <is>
          <t xml:space="preserve">Grid/Matrix</t>
        </is>
      </c>
      <c r="I546" s="2" t="inlineStr">
        <is>
          <t xml:space="preserve">2D arrays, Prefix sums, Long long</t>
        </is>
      </c>
      <c r="J546" s="2" t="inlineStr">
        <is>
          <t xml:space="preserve">2D prefix sums give every u x v block sum; keep the smallest absolute value</t>
        </is>
      </c>
      <c r="K546" s="2" t="inlineStr">
        <is>
          <t xml:space="preserve">Префиксни суми (prefix array)</t>
        </is>
      </c>
      <c r="L546" s="9" t="str">
        <f>HYPERLINK("https://arena.olimpiici.com/#/catalog/278/problem/100791","open problem")</f>
        <v>open problem</v>
      </c>
    </row>
    <row r="547">
      <c r="A547" s="2" t="inlineStr">
        <is>
          <t xml:space="preserve">wedding</t>
        </is>
      </c>
      <c r="B547" s="2" t="inlineStr">
        <is>
          <t xml:space="preserve">Spring tournament</t>
        </is>
      </c>
      <c r="C547" s="8" t="inlineStr">
        <is>
          <t xml:space="preserve">C</t>
        </is>
      </c>
      <c r="D547" s="8">
        <v>2011</v>
      </c>
      <c r="E547" s="6">
        <v>4</v>
      </c>
      <c r="F547" s="2" t="inlineStr">
        <is>
          <t xml:space="preserve">Hard</t>
        </is>
      </c>
      <c r="G547" s="2" t="inlineStr">
        <is>
          <t xml:space="preserve">Binary search</t>
        </is>
      </c>
      <c r="H547" s="2" t="inlineStr">
        <is>
          <t xml:space="preserve">Greedy</t>
        </is>
      </c>
      <c r="I547" s="2" t="inlineStr">
        <is>
          <t xml:space="preserve">Sorting, Two pointers, Binary search</t>
        </is>
      </c>
      <c r="J547" s="2" t="inlineStr">
        <is>
          <t xml:space="preserve">Binary search the guest count and check greedily that forks bracket each spoon</t>
        </is>
      </c>
      <c r="K547" s="2" t="inlineStr">
        <is>
          <t xml:space="preserve">Двоично търсене по отговора (binary search); Двоично търсене (binary search); Метод на показалките / 2-pointers</t>
        </is>
      </c>
      <c r="L547" s="9" t="str">
        <f>HYPERLINK("https://arena.olimpiici.com/#/catalog/278/problem/100792","open problem")</f>
        <v>open problem</v>
      </c>
    </row>
    <row r="548">
      <c r="A548" s="2" t="inlineStr">
        <is>
          <t xml:space="preserve">paper</t>
        </is>
      </c>
      <c r="B548" s="2" t="inlineStr">
        <is>
          <t xml:space="preserve">Spring tournament</t>
        </is>
      </c>
      <c r="C548" s="8" t="inlineStr">
        <is>
          <t xml:space="preserve">C</t>
        </is>
      </c>
      <c r="D548" s="8">
        <v>2012</v>
      </c>
      <c r="E548" s="4">
        <v>2</v>
      </c>
      <c r="F548" s="2" t="inlineStr">
        <is>
          <t xml:space="preserve">Easy</t>
        </is>
      </c>
      <c r="G548" s="2" t="inlineStr">
        <is>
          <t xml:space="preserve">Flood fill</t>
        </is>
      </c>
      <c r="H548" s="2" t="inlineStr">
        <is>
          <t xml:space="preserve">Graph traversal (BFS/DFS)</t>
        </is>
      </c>
      <c r="I548" s="2" t="inlineStr">
        <is>
          <t xml:space="preserve">2D arrays, Queues, Grid/Matrix</t>
        </is>
      </c>
      <c r="J548" s="2" t="inlineStr">
        <is>
          <t xml:space="preserve">Count connected components of the remaining cells</t>
        </is>
      </c>
      <c r="K548" s="2" t="inlineStr">
        <is>
          <t xml:space="preserve">Графи / Търсене в ширина (BFS); Графи / Търсене в дълбочина (DFS)</t>
        </is>
      </c>
      <c r="L548" s="9" t="str">
        <f>HYPERLINK("https://arena.olimpiici.com/#/catalog/284/problem/100805","open problem")</f>
        <v>open problem</v>
      </c>
    </row>
    <row r="549">
      <c r="A549" s="2" t="inlineStr">
        <is>
          <t xml:space="preserve">minmax</t>
        </is>
      </c>
      <c r="B549" s="2" t="inlineStr">
        <is>
          <t xml:space="preserve">Spring tournament</t>
        </is>
      </c>
      <c r="C549" s="8" t="inlineStr">
        <is>
          <t xml:space="preserve">C</t>
        </is>
      </c>
      <c r="D549" s="8">
        <v>2012</v>
      </c>
      <c r="E549" s="6">
        <v>4</v>
      </c>
      <c r="F549" s="2" t="inlineStr">
        <is>
          <t xml:space="preserve">Hard</t>
        </is>
      </c>
      <c r="G549" s="2" t="inlineStr">
        <is>
          <t xml:space="preserve">Math / Formula</t>
        </is>
      </c>
      <c r="H549" s="2" t="inlineStr">
        <is>
          <t xml:space="preserve">Brute force</t>
        </is>
      </c>
      <c r="I549" s="2" t="inlineStr">
        <is>
          <t xml:space="preserve">Long long, Math, Loops</t>
        </is>
      </c>
      <c r="J549" s="2" t="inlineStr">
        <is>
          <t xml:space="preserve">Invert each step: integer division makes a range of preimages, track its ends</t>
        </is>
      </c>
      <c r="K549" s="2" t="inlineStr">
        <is>
          <t xml:space="preserve">Математика</t>
        </is>
      </c>
      <c r="L549" s="9" t="str">
        <f>HYPERLINK("https://arena.olimpiici.com/#/catalog/284/problem/100806","open problem")</f>
        <v>open problem</v>
      </c>
    </row>
    <row r="550">
      <c r="A550" s="2" t="inlineStr">
        <is>
          <t xml:space="preserve">programs</t>
        </is>
      </c>
      <c r="B550" s="2" t="inlineStr">
        <is>
          <t xml:space="preserve">Spring tournament</t>
        </is>
      </c>
      <c r="C550" s="8" t="inlineStr">
        <is>
          <t xml:space="preserve">C</t>
        </is>
      </c>
      <c r="D550" s="8">
        <v>2012</v>
      </c>
      <c r="E550" s="6">
        <v>4</v>
      </c>
      <c r="F550" s="2" t="inlineStr">
        <is>
          <t xml:space="preserve">Hard</t>
        </is>
      </c>
      <c r="G550" s="2" t="inlineStr">
        <is>
          <t xml:space="preserve">Implementation / Simulation</t>
        </is>
      </c>
      <c r="H550" s="2" t="inlineStr">
        <is>
          <t xml:space="preserve">Prefix sums</t>
        </is>
      </c>
      <c r="I550" s="2" t="inlineStr">
        <is>
          <t xml:space="preserve">Arrays, Prefix sums, Long long</t>
        </is>
      </c>
      <c r="J550" s="2" t="inlineStr">
        <is>
          <t xml:space="preserve">Two-stage pipeline finish time; recompute incrementally after each swap</t>
        </is>
      </c>
      <c r="K550" s="2" t="inlineStr">
        <is>
          <t xml:space="preserve"/>
        </is>
      </c>
      <c r="L550" s="9" t="str">
        <f>HYPERLINK("https://arena.olimpiici.com/#/catalog/284/problem/100807","open problem")</f>
        <v>open problem</v>
      </c>
    </row>
    <row r="551">
      <c r="A551" s="2" t="inlineStr">
        <is>
          <t xml:space="preserve">hidden</t>
        </is>
      </c>
      <c r="B551" s="2" t="inlineStr">
        <is>
          <t xml:space="preserve">Spring tournament</t>
        </is>
      </c>
      <c r="C551" s="8" t="inlineStr">
        <is>
          <t xml:space="preserve">C</t>
        </is>
      </c>
      <c r="D551" s="8">
        <v>2013</v>
      </c>
      <c r="E551" s="6">
        <v>4</v>
      </c>
      <c r="F551" s="2" t="inlineStr">
        <is>
          <t xml:space="preserve">Hard</t>
        </is>
      </c>
      <c r="G551" s="2" t="inlineStr">
        <is>
          <t xml:space="preserve">Graph traversal (BFS/DFS)</t>
        </is>
      </c>
      <c r="H551" s="2" t="inlineStr">
        <is>
          <t xml:space="preserve">Grid/Matrix</t>
        </is>
      </c>
      <c r="I551" s="2" t="inlineStr">
        <is>
          <t xml:space="preserve">2D arrays, Recursion, Strings</t>
        </is>
      </c>
      <c r="J551" s="2" t="inlineStr">
        <is>
          <t xml:space="preserve">DFS over (cell, matched prefix) states, revisiting cells is allowed</t>
        </is>
      </c>
      <c r="K551" s="2" t="inlineStr">
        <is>
          <t xml:space="preserve">Графи / Търсене в дълбочина (DFS); Търсене с връщане (backtracking)</t>
        </is>
      </c>
      <c r="L551" s="9" t="str">
        <f>HYPERLINK("https://arena.olimpiici.com/#/catalog/290/problem/100820","open problem")</f>
        <v>open problem</v>
      </c>
    </row>
    <row r="552">
      <c r="A552" s="2" t="inlineStr">
        <is>
          <t xml:space="preserve">bubblegum</t>
        </is>
      </c>
      <c r="B552" s="2" t="inlineStr">
        <is>
          <t xml:space="preserve">Spring tournament</t>
        </is>
      </c>
      <c r="C552" s="8" t="inlineStr">
        <is>
          <t xml:space="preserve">C</t>
        </is>
      </c>
      <c r="D552" s="8">
        <v>2013</v>
      </c>
      <c r="E552" s="5">
        <v>3</v>
      </c>
      <c r="F552" s="2" t="inlineStr">
        <is>
          <t xml:space="preserve">Medium</t>
        </is>
      </c>
      <c r="G552" s="2" t="inlineStr">
        <is>
          <t xml:space="preserve">Number theory</t>
        </is>
      </c>
      <c r="H552" s="2" t="inlineStr">
        <is>
          <t xml:space="preserve">Big numbers</t>
        </is>
      </c>
      <c r="I552" s="2" t="inlineStr">
        <is>
          <t xml:space="preserve">Big integers, Math, Arrays</t>
        </is>
      </c>
      <c r="J552" s="2" t="inlineStr">
        <is>
          <t xml:space="preserve">All balloons burst together at the lcm of the times, which needs big numbers</t>
        </is>
      </c>
      <c r="K552" s="2" t="inlineStr">
        <is>
          <t xml:space="preserve">Дълги числа (Big numbers); Математика / Теория на числата</t>
        </is>
      </c>
      <c r="L552" s="9" t="str">
        <f>HYPERLINK("https://arena.olimpiici.com/#/catalog/290/problem/100821","open problem")</f>
        <v>open problem</v>
      </c>
    </row>
    <row r="553">
      <c r="A553" s="2" t="inlineStr">
        <is>
          <t xml:space="preserve">marmot</t>
        </is>
      </c>
      <c r="B553" s="2" t="inlineStr">
        <is>
          <t xml:space="preserve">Spring tournament</t>
        </is>
      </c>
      <c r="C553" s="8" t="inlineStr">
        <is>
          <t xml:space="preserve">C</t>
        </is>
      </c>
      <c r="D553" s="8">
        <v>2013</v>
      </c>
      <c r="E553" s="6">
        <v>4</v>
      </c>
      <c r="F553" s="2" t="inlineStr">
        <is>
          <t xml:space="preserve">Hard</t>
        </is>
      </c>
      <c r="G553" s="2" t="inlineStr">
        <is>
          <t xml:space="preserve">Game theory</t>
        </is>
      </c>
      <c r="H553" s="2" t="inlineStr">
        <is>
          <t xml:space="preserve">Bit manipulation</t>
        </is>
      </c>
      <c r="I553" s="2" t="inlineStr">
        <is>
          <t xml:space="preserve">Arrays, Bitmask, Math</t>
        </is>
      </c>
      <c r="J553" s="2" t="inlineStr">
        <is>
          <t xml:space="preserve">Each box is an independent pile: compute Grundy values and XOR them</t>
        </is>
      </c>
      <c r="K553" s="2" t="inlineStr">
        <is>
          <t xml:space="preserve">Игри / Теория на игрите; Числа на Грунди</t>
        </is>
      </c>
      <c r="L553" s="9" t="str">
        <f>HYPERLINK("https://arena.olimpiici.com/#/catalog/290/problem/100822","open problem")</f>
        <v>open problem</v>
      </c>
    </row>
    <row r="554">
      <c r="A554" s="2" t="inlineStr">
        <is>
          <t xml:space="preserve">paths</t>
        </is>
      </c>
      <c r="B554" s="2" t="inlineStr">
        <is>
          <t xml:space="preserve">Spring tournament</t>
        </is>
      </c>
      <c r="C554" s="8" t="inlineStr">
        <is>
          <t xml:space="preserve">C</t>
        </is>
      </c>
      <c r="D554" s="8">
        <v>2014</v>
      </c>
      <c r="E554" s="5">
        <v>3</v>
      </c>
      <c r="F554" s="2" t="inlineStr">
        <is>
          <t xml:space="preserve">Medium</t>
        </is>
      </c>
      <c r="G554" s="2" t="inlineStr">
        <is>
          <t xml:space="preserve">Graph traversal (BFS/DFS)</t>
        </is>
      </c>
      <c r="H554" s="2" t="inlineStr">
        <is>
          <t xml:space="preserve">Counting / Frequency arrays</t>
        </is>
      </c>
      <c r="I554" s="2" t="inlineStr">
        <is>
          <t xml:space="preserve">Queues, Vectors, Long long</t>
        </is>
      </c>
      <c r="J554" s="2" t="inlineStr">
        <is>
          <t xml:space="preserve">BFS from each city counting shortest paths, then answer the queries</t>
        </is>
      </c>
      <c r="K554" s="2" t="inlineStr">
        <is>
          <t xml:space="preserve">Графи; Графи / Флойд ( Floyd Warshall )</t>
        </is>
      </c>
      <c r="L554" s="9" t="str">
        <f>HYPERLINK("https://arena.olimpiici.com/#/catalog/296/problem/100835","open problem")</f>
        <v>open problem</v>
      </c>
    </row>
    <row r="555">
      <c r="A555" s="2" t="inlineStr">
        <is>
          <t xml:space="preserve">transformations</t>
        </is>
      </c>
      <c r="B555" s="2" t="inlineStr">
        <is>
          <t xml:space="preserve">Spring tournament</t>
        </is>
      </c>
      <c r="C555" s="8" t="inlineStr">
        <is>
          <t xml:space="preserve">C</t>
        </is>
      </c>
      <c r="D555" s="8">
        <v>2014</v>
      </c>
      <c r="E555" s="6">
        <v>4</v>
      </c>
      <c r="F555" s="2" t="inlineStr">
        <is>
          <t xml:space="preserve">Hard</t>
        </is>
      </c>
      <c r="G555" s="2" t="inlineStr">
        <is>
          <t xml:space="preserve">Big numbers</t>
        </is>
      </c>
      <c r="H555" s="2" t="inlineStr">
        <is>
          <t xml:space="preserve">Dynamic programming</t>
        </is>
      </c>
      <c r="I555" s="2" t="inlineStr">
        <is>
          <t xml:space="preserve">Big integers, Arrays, Math</t>
        </is>
      </c>
      <c r="J555" s="2" t="inlineStr">
        <is>
          <t xml:space="preserve">Thue-Morse: a linear recurrence for the number of '00' pairs, computed with big numbers</t>
        </is>
      </c>
      <c r="K555" s="2" t="inlineStr">
        <is>
          <t xml:space="preserve">Дълги числа (Big numbers); Динамично програмиране (Dynamic programming)</t>
        </is>
      </c>
      <c r="L555" s="9" t="str">
        <f>HYPERLINK("https://arena.olimpiici.com/#/catalog/296/problem/100836","open problem")</f>
        <v>open problem</v>
      </c>
    </row>
    <row r="556">
      <c r="A556" s="2" t="inlineStr">
        <is>
          <t xml:space="preserve">stars</t>
        </is>
      </c>
      <c r="B556" s="2" t="inlineStr">
        <is>
          <t xml:space="preserve">Spring tournament</t>
        </is>
      </c>
      <c r="C556" s="8" t="inlineStr">
        <is>
          <t xml:space="preserve">C</t>
        </is>
      </c>
      <c r="D556" s="8">
        <v>2014</v>
      </c>
      <c r="E556" s="6">
        <v>4</v>
      </c>
      <c r="F556" s="2" t="inlineStr">
        <is>
          <t xml:space="preserve">Hard</t>
        </is>
      </c>
      <c r="G556" s="2" t="inlineStr">
        <is>
          <t xml:space="preserve">Combinatorics</t>
        </is>
      </c>
      <c r="H556" s="2" t="inlineStr">
        <is>
          <t xml:space="preserve">Big numbers</t>
        </is>
      </c>
      <c r="I556" s="2" t="inlineStr">
        <is>
          <t xml:space="preserve">Big integers, Math, Arrays</t>
        </is>
      </c>
      <c r="J556" s="2" t="inlineStr">
        <is>
          <t xml:space="preserve">Total figures is a sum of binomials; the winner is that count modulo M</t>
        </is>
      </c>
      <c r="K556" s="2" t="inlineStr">
        <is>
          <t xml:space="preserve">Комбинаторика; Динамично програмиране (Dynamic programming)</t>
        </is>
      </c>
      <c r="L556" s="9" t="str">
        <f>HYPERLINK("https://arena.olimpiici.com/#/catalog/296/problem/100837","open problem")</f>
        <v>open problem</v>
      </c>
    </row>
    <row r="557">
      <c r="A557" s="2" t="inlineStr">
        <is>
          <t xml:space="preserve">lg</t>
        </is>
      </c>
      <c r="B557" s="2" t="inlineStr">
        <is>
          <t xml:space="preserve">Spring tournament</t>
        </is>
      </c>
      <c r="C557" s="8" t="inlineStr">
        <is>
          <t xml:space="preserve">C</t>
        </is>
      </c>
      <c r="D557" s="8">
        <v>2015</v>
      </c>
      <c r="E557" s="5">
        <v>3</v>
      </c>
      <c r="F557" s="2" t="inlineStr">
        <is>
          <t xml:space="preserve">Medium</t>
        </is>
      </c>
      <c r="G557" s="2" t="inlineStr">
        <is>
          <t xml:space="preserve">Big numbers</t>
        </is>
      </c>
      <c r="H557" s="2" t="inlineStr">
        <is>
          <t xml:space="preserve">Binary search</t>
        </is>
      </c>
      <c r="I557" s="2" t="inlineStr">
        <is>
          <t xml:space="preserve">Big integers, Strings, Loops</t>
        </is>
      </c>
      <c r="J557" s="2" t="inlineStr">
        <is>
          <t xml:space="preserve">Multiply b repeatedly with big-number arithmetic until it exceeds the 100-digit a</t>
        </is>
      </c>
      <c r="K557" s="2" t="inlineStr">
        <is>
          <t xml:space="preserve">Дълги числа (Big numbers); Двоично търсене (binary search)</t>
        </is>
      </c>
      <c r="L557" s="9" t="str">
        <f>HYPERLINK("https://arena.olimpiici.com/#/catalog/302/problem/100850","open problem")</f>
        <v>open problem</v>
      </c>
    </row>
    <row r="558">
      <c r="A558" s="2" t="inlineStr">
        <is>
          <t xml:space="preserve">ClosestNumber</t>
        </is>
      </c>
      <c r="B558" s="2" t="inlineStr">
        <is>
          <t xml:space="preserve">Spring tournament</t>
        </is>
      </c>
      <c r="C558" s="8" t="inlineStr">
        <is>
          <t xml:space="preserve">C</t>
        </is>
      </c>
      <c r="D558" s="8">
        <v>2015</v>
      </c>
      <c r="E558" s="6">
        <v>4</v>
      </c>
      <c r="F558" s="2" t="inlineStr">
        <is>
          <t xml:space="preserve">Hard</t>
        </is>
      </c>
      <c r="G558" s="2" t="inlineStr">
        <is>
          <t xml:space="preserve">Recursion / Backtracking</t>
        </is>
      </c>
      <c r="H558" s="2" t="inlineStr">
        <is>
          <t xml:space="preserve">Number theory</t>
        </is>
      </c>
      <c r="I558" s="2" t="inlineStr">
        <is>
          <t xml:space="preserve">Recursion, Long long, Sets</t>
        </is>
      </c>
      <c r="J558" s="2" t="inlineStr">
        <is>
          <t xml:space="preserve">Generate 20-smooth numbers up to 10^18 and pick the closest on each side</t>
        </is>
      </c>
      <c r="K558" s="2" t="inlineStr">
        <is>
          <t xml:space="preserve">Търсене с връщане (backtracking); Комбинаторни конфигурации и преброяване</t>
        </is>
      </c>
      <c r="L558" s="9" t="str">
        <f>HYPERLINK("https://arena.olimpiici.com/#/catalog/302/problem/100851","open problem")</f>
        <v>open problem</v>
      </c>
    </row>
    <row r="559">
      <c r="A559" s="2" t="inlineStr">
        <is>
          <t xml:space="preserve">TOTO</t>
        </is>
      </c>
      <c r="B559" s="2" t="inlineStr">
        <is>
          <t xml:space="preserve">Spring tournament</t>
        </is>
      </c>
      <c r="C559" s="8" t="inlineStr">
        <is>
          <t xml:space="preserve">C</t>
        </is>
      </c>
      <c r="D559" s="8">
        <v>2015</v>
      </c>
      <c r="E559" s="7">
        <v>5</v>
      </c>
      <c r="F559" s="2" t="inlineStr">
        <is>
          <t xml:space="preserve">Very hard</t>
        </is>
      </c>
      <c r="G559" s="2" t="inlineStr">
        <is>
          <t xml:space="preserve">Combinatorics</t>
        </is>
      </c>
      <c r="H559" s="2" t="inlineStr">
        <is>
          <t xml:space="preserve">Graph traversal (BFS/DFS)</t>
        </is>
      </c>
      <c r="I559" s="2" t="inlineStr">
        <is>
          <t xml:space="preserve">Bitmask, Vectors, Long long</t>
        </is>
      </c>
      <c r="J559" s="2" t="inlineStr">
        <is>
          <t xml:space="preserve">Precompute the 6-cell knight cycles on the 7x7 board and index them lexicographically</t>
        </is>
      </c>
      <c r="K559" s="2" t="inlineStr">
        <is>
          <t xml:space="preserve">Комбинаторни конфигурации и преброяване</t>
        </is>
      </c>
      <c r="L559" s="9" t="str">
        <f>HYPERLINK("https://arena.olimpiici.com/#/catalog/302/problem/100852","open problem")</f>
        <v>open problem</v>
      </c>
    </row>
    <row r="560">
      <c r="A560" s="2" t="inlineStr">
        <is>
          <t xml:space="preserve">rect</t>
        </is>
      </c>
      <c r="B560" s="2" t="inlineStr">
        <is>
          <t xml:space="preserve">Spring tournament</t>
        </is>
      </c>
      <c r="C560" s="8" t="inlineStr">
        <is>
          <t xml:space="preserve">C</t>
        </is>
      </c>
      <c r="D560" s="8">
        <v>2016</v>
      </c>
      <c r="E560" s="7">
        <v>5</v>
      </c>
      <c r="F560" s="2" t="inlineStr">
        <is>
          <t xml:space="preserve">Very hard</t>
        </is>
      </c>
      <c r="G560" s="2" t="inlineStr">
        <is>
          <t xml:space="preserve">Prefix sums</t>
        </is>
      </c>
      <c r="H560" s="2" t="inlineStr">
        <is>
          <t xml:space="preserve">Grid/Matrix</t>
        </is>
      </c>
      <c r="I560" s="2" t="inlineStr">
        <is>
          <t xml:space="preserve">2D arrays, Prefix sums, Grid/Matrix</t>
        </is>
      </c>
      <c r="J560" s="2" t="inlineStr">
        <is>
          <t xml:space="preserve">Count rectangle outlines consistent with the picture by checking corner/side patterns</t>
        </is>
      </c>
      <c r="K560" s="2" t="inlineStr">
        <is>
          <t xml:space="preserve">Префиксни суми (prefix array); Комбинаторика</t>
        </is>
      </c>
      <c r="L560" s="9" t="str">
        <f>HYPERLINK("https://arena.olimpiici.com/#/catalog/308/problem/100865","open problem")</f>
        <v>open problem</v>
      </c>
    </row>
    <row r="561">
      <c r="A561" s="2" t="inlineStr">
        <is>
          <t xml:space="preserve">partition</t>
        </is>
      </c>
      <c r="B561" s="2" t="inlineStr">
        <is>
          <t xml:space="preserve">Spring tournament</t>
        </is>
      </c>
      <c r="C561" s="8" t="inlineStr">
        <is>
          <t xml:space="preserve">C</t>
        </is>
      </c>
      <c r="D561" s="8">
        <v>2016</v>
      </c>
      <c r="E561" s="5">
        <v>3</v>
      </c>
      <c r="F561" s="2" t="inlineStr">
        <is>
          <t xml:space="preserve">Medium</t>
        </is>
      </c>
      <c r="G561" s="2" t="inlineStr">
        <is>
          <t xml:space="preserve">Dynamic programming</t>
        </is>
      </c>
      <c r="H561" s="2" t="inlineStr">
        <is>
          <t xml:space="preserve">Bit manipulation</t>
        </is>
      </c>
      <c r="I561" s="2" t="inlineStr">
        <is>
          <t xml:space="preserve">Bitmask, Arrays, Counting array</t>
        </is>
      </c>
      <c r="J561" s="2" t="inlineStr">
        <is>
          <t xml:space="preserve">Subset-sum bitset: can half the total be reached?</t>
        </is>
      </c>
      <c r="K561" s="2" t="inlineStr">
        <is>
          <t xml:space="preserve">Динамично програмиране (Dynamic programming)</t>
        </is>
      </c>
      <c r="L561" s="9" t="str">
        <f>HYPERLINK("https://arena.olimpiici.com/#/catalog/308/problem/100866","open problem")</f>
        <v>open problem</v>
      </c>
    </row>
    <row r="562">
      <c r="A562" s="2" t="inlineStr">
        <is>
          <t xml:space="preserve">figures</t>
        </is>
      </c>
      <c r="B562" s="2" t="inlineStr">
        <is>
          <t xml:space="preserve">Spring tournament</t>
        </is>
      </c>
      <c r="C562" s="8" t="inlineStr">
        <is>
          <t xml:space="preserve">C</t>
        </is>
      </c>
      <c r="D562" s="8">
        <v>2016</v>
      </c>
      <c r="E562" s="6">
        <v>4</v>
      </c>
      <c r="F562" s="2" t="inlineStr">
        <is>
          <t xml:space="preserve">Hard</t>
        </is>
      </c>
      <c r="G562" s="2" t="inlineStr">
        <is>
          <t xml:space="preserve">Geometry</t>
        </is>
      </c>
      <c r="H562" s="2" t="inlineStr">
        <is>
          <t xml:space="preserve">Math / Formula</t>
        </is>
      </c>
      <c r="I562" s="2" t="inlineStr">
        <is>
          <t xml:space="preserve">Math, Arrays, Loops</t>
        </is>
      </c>
      <c r="J562" s="2" t="inlineStr">
        <is>
          <t xml:space="preserve">Convert node numbers to triangular-lattice coordinates, then match the shape</t>
        </is>
      </c>
      <c r="K562" s="2" t="inlineStr">
        <is>
          <t xml:space="preserve"/>
        </is>
      </c>
      <c r="L562" s="9" t="str">
        <f>HYPERLINK("https://arena.olimpiici.com/#/catalog/308/problem/100867","open problem")</f>
        <v>open problem</v>
      </c>
    </row>
    <row r="563">
      <c r="A563" s="2" t="inlineStr">
        <is>
          <t xml:space="preserve">palindrom</t>
        </is>
      </c>
      <c r="B563" s="2" t="inlineStr">
        <is>
          <t xml:space="preserve">Spring tournament</t>
        </is>
      </c>
      <c r="C563" s="8" t="inlineStr">
        <is>
          <t xml:space="preserve">C</t>
        </is>
      </c>
      <c r="D563" s="8">
        <v>2017</v>
      </c>
      <c r="E563" s="5">
        <v>3</v>
      </c>
      <c r="F563" s="2" t="inlineStr">
        <is>
          <t xml:space="preserve">Medium</t>
        </is>
      </c>
      <c r="G563" s="2" t="inlineStr">
        <is>
          <t xml:space="preserve">Combinatorics</t>
        </is>
      </c>
      <c r="H563" s="2" t="inlineStr">
        <is>
          <t xml:space="preserve">String processing</t>
        </is>
      </c>
      <c r="I563" s="2" t="inlineStr">
        <is>
          <t xml:space="preserve">Strings, Long long, Math</t>
        </is>
      </c>
      <c r="J563" s="2" t="inlineStr">
        <is>
          <t xml:space="preserve">Count palindromes by digit length, then handle the partial length of N</t>
        </is>
      </c>
      <c r="K563" s="2" t="inlineStr">
        <is>
          <t xml:space="preserve">Палиндроми</t>
        </is>
      </c>
      <c r="L563" s="9" t="str">
        <f>HYPERLINK("https://arena.olimpiici.com/#/catalog/314/problem/100880","open problem")</f>
        <v>open problem</v>
      </c>
    </row>
    <row r="564">
      <c r="A564" s="2" t="inlineStr">
        <is>
          <t xml:space="preserve">honest</t>
        </is>
      </c>
      <c r="B564" s="2" t="inlineStr">
        <is>
          <t xml:space="preserve">Spring tournament</t>
        </is>
      </c>
      <c r="C564" s="8" t="inlineStr">
        <is>
          <t xml:space="preserve">C</t>
        </is>
      </c>
      <c r="D564" s="8">
        <v>2017</v>
      </c>
      <c r="E564" s="6">
        <v>4</v>
      </c>
      <c r="F564" s="2" t="inlineStr">
        <is>
          <t xml:space="preserve">Hard</t>
        </is>
      </c>
      <c r="G564" s="2" t="inlineStr">
        <is>
          <t xml:space="preserve">Graph traversal (BFS/DFS)</t>
        </is>
      </c>
      <c r="H564" s="2" t="inlineStr">
        <is>
          <t xml:space="preserve">Greedy</t>
        </is>
      </c>
      <c r="I564" s="2" t="inlineStr">
        <is>
          <t xml:space="preserve">Vectors, Queues, Arrays</t>
        </is>
      </c>
      <c r="J564" s="2" t="inlineStr">
        <is>
          <t xml:space="preserve">Statements two-colour each component; take the larger side of every component</t>
        </is>
      </c>
      <c r="K564" s="2" t="inlineStr">
        <is>
          <t xml:space="preserve"/>
        </is>
      </c>
      <c r="L564" s="9" t="str">
        <f>HYPERLINK("https://arena.olimpiici.com/#/catalog/314/problem/100881","open problem")</f>
        <v>open problem</v>
      </c>
    </row>
    <row r="565">
      <c r="A565" s="2" t="inlineStr">
        <is>
          <t xml:space="preserve">longnat</t>
        </is>
      </c>
      <c r="B565" s="2" t="inlineStr">
        <is>
          <t xml:space="preserve">Spring tournament</t>
        </is>
      </c>
      <c r="C565" s="8" t="inlineStr">
        <is>
          <t xml:space="preserve">C</t>
        </is>
      </c>
      <c r="D565" s="8">
        <v>2017</v>
      </c>
      <c r="E565" s="5">
        <v>3</v>
      </c>
      <c r="F565" s="2" t="inlineStr">
        <is>
          <t xml:space="preserve">Medium</t>
        </is>
      </c>
      <c r="G565" s="2" t="inlineStr">
        <is>
          <t xml:space="preserve">Dynamic programming</t>
        </is>
      </c>
      <c r="H565" s="2" t="inlineStr">
        <is>
          <t xml:space="preserve">Counting / Frequency arrays</t>
        </is>
      </c>
      <c r="I565" s="2" t="inlineStr">
        <is>
          <t xml:space="preserve">Counting array, Arrays, Loops</t>
        </is>
      </c>
      <c r="J565" s="2" t="inlineStr">
        <is>
          <t xml:space="preserve">Longest run of consecutive values present; DP over value keeps it linear</t>
        </is>
      </c>
      <c r="K565" s="2" t="inlineStr">
        <is>
          <t xml:space="preserve">Динамично програмиране (Dynamic programming)</t>
        </is>
      </c>
      <c r="L565" s="9" t="str">
        <f>HYPERLINK("https://arena.olimpiici.com/#/catalog/314/problem/100882","open problem")</f>
        <v>open problem</v>
      </c>
    </row>
    <row r="566">
      <c r="A566" s="2" t="inlineStr">
        <is>
          <t xml:space="preserve">tri</t>
        </is>
      </c>
      <c r="B566" s="2" t="inlineStr">
        <is>
          <t xml:space="preserve">Spring tournament</t>
        </is>
      </c>
      <c r="C566" s="8" t="inlineStr">
        <is>
          <t xml:space="preserve">C</t>
        </is>
      </c>
      <c r="D566" s="8">
        <v>2018</v>
      </c>
      <c r="E566" s="7">
        <v>5</v>
      </c>
      <c r="F566" s="2" t="inlineStr">
        <is>
          <t xml:space="preserve">Very hard</t>
        </is>
      </c>
      <c r="G566" s="2" t="inlineStr">
        <is>
          <t xml:space="preserve">Geometry</t>
        </is>
      </c>
      <c r="H566" s="2" t="inlineStr">
        <is>
          <t xml:space="preserve">Sorting</t>
        </is>
      </c>
      <c r="I566" s="2" t="inlineStr">
        <is>
          <t xml:space="preserve">Sorting, Math, Structs</t>
        </is>
      </c>
      <c r="J566" s="2" t="inlineStr">
        <is>
          <t xml:space="preserve">Sweep line over x with the diagonal edges to accumulate the union area</t>
        </is>
      </c>
      <c r="K566" s="2" t="inlineStr">
        <is>
          <t xml:space="preserve">Геометрия / Метяща права (sweep line)</t>
        </is>
      </c>
      <c r="L566" s="9" t="str">
        <f>HYPERLINK("https://arena.olimpiici.com/#/catalog/320/problem/100895","open problem")</f>
        <v>open problem</v>
      </c>
    </row>
    <row r="567">
      <c r="A567" s="2" t="inlineStr">
        <is>
          <t xml:space="preserve">gold</t>
        </is>
      </c>
      <c r="B567" s="2" t="inlineStr">
        <is>
          <t xml:space="preserve">Spring tournament</t>
        </is>
      </c>
      <c r="C567" s="8" t="inlineStr">
        <is>
          <t xml:space="preserve">C</t>
        </is>
      </c>
      <c r="D567" s="8">
        <v>2018</v>
      </c>
      <c r="E567" s="5">
        <v>3</v>
      </c>
      <c r="F567" s="2" t="inlineStr">
        <is>
          <t xml:space="preserve">Medium</t>
        </is>
      </c>
      <c r="G567" s="2" t="inlineStr">
        <is>
          <t xml:space="preserve">Dynamic programming</t>
        </is>
      </c>
      <c r="H567" s="2" t="inlineStr">
        <is>
          <t xml:space="preserve">Bit manipulation</t>
        </is>
      </c>
      <c r="I567" s="2" t="inlineStr">
        <is>
          <t xml:space="preserve">Bitmask, Arrays, Counting array</t>
        </is>
      </c>
      <c r="J567" s="2" t="inlineStr">
        <is>
          <t xml:space="preserve">Subset-sum over the bars: keep the achievable sum closest to half the total</t>
        </is>
      </c>
      <c r="K567" s="2" t="inlineStr">
        <is>
          <t xml:space="preserve">Динамично програмиране (Dynamic programming)</t>
        </is>
      </c>
      <c r="L567" s="9" t="str">
        <f>HYPERLINK("https://arena.olimpiici.com/#/catalog/320/problem/100896","open problem")</f>
        <v>open problem</v>
      </c>
    </row>
    <row r="568">
      <c r="A568" s="2" t="inlineStr">
        <is>
          <t xml:space="preserve">investor</t>
        </is>
      </c>
      <c r="B568" s="2" t="inlineStr">
        <is>
          <t xml:space="preserve">Spring tournament</t>
        </is>
      </c>
      <c r="C568" s="8" t="inlineStr">
        <is>
          <t xml:space="preserve">C</t>
        </is>
      </c>
      <c r="D568" s="8">
        <v>2018</v>
      </c>
      <c r="E568" s="6">
        <v>4</v>
      </c>
      <c r="F568" s="2" t="inlineStr">
        <is>
          <t xml:space="preserve">Hard</t>
        </is>
      </c>
      <c r="G568" s="2" t="inlineStr">
        <is>
          <t xml:space="preserve">Number theory</t>
        </is>
      </c>
      <c r="H568" s="2" t="inlineStr">
        <is>
          <t xml:space="preserve">Math / Formula</t>
        </is>
      </c>
      <c r="I568" s="2" t="inlineStr">
        <is>
          <t xml:space="preserve">Long long, Math, Loops</t>
        </is>
      </c>
      <c r="J568" s="2" t="inlineStr">
        <is>
          <t xml:space="preserve">The N-th term is F(N-2)*a + F(N-1)*b: count positive solutions of that Diophantine equation</t>
        </is>
      </c>
      <c r="K568" s="2" t="inlineStr">
        <is>
          <t xml:space="preserve">Математика / Разширен алгоритъм на Евклид</t>
        </is>
      </c>
      <c r="L568" s="9" t="str">
        <f>HYPERLINK("https://arena.olimpiici.com/#/catalog/320/problem/100897","open problem")</f>
        <v>open problem</v>
      </c>
    </row>
    <row r="569">
      <c r="A569" s="2" t="inlineStr">
        <is>
          <t xml:space="preserve">links</t>
        </is>
      </c>
      <c r="B569" s="2" t="inlineStr">
        <is>
          <t xml:space="preserve">Spring tournament</t>
        </is>
      </c>
      <c r="C569" s="8" t="inlineStr">
        <is>
          <t xml:space="preserve">C</t>
        </is>
      </c>
      <c r="D569" s="8">
        <v>2019</v>
      </c>
      <c r="E569" s="6">
        <v>4</v>
      </c>
      <c r="F569" s="2" t="inlineStr">
        <is>
          <t xml:space="preserve">Hard</t>
        </is>
      </c>
      <c r="G569" s="2" t="inlineStr">
        <is>
          <t xml:space="preserve">Dynamic programming</t>
        </is>
      </c>
      <c r="H569" s="2" t="inlineStr">
        <is>
          <t xml:space="preserve">Binary search</t>
        </is>
      </c>
      <c r="I569" s="2" t="inlineStr">
        <is>
          <t xml:space="preserve">Sorting, Arrays, Binary search</t>
        </is>
      </c>
      <c r="J569" s="2" t="inlineStr">
        <is>
          <t xml:space="preserve">Sort by a and take the longest increasing subsequence of b (non-crossing links)</t>
        </is>
      </c>
      <c r="K569" s="2" t="inlineStr">
        <is>
          <t xml:space="preserve">Динамично програмиране (Dynamic programming); Longest Increasing Subsequence</t>
        </is>
      </c>
      <c r="L569" s="9" t="str">
        <f>HYPERLINK("https://arena.olimpiici.com/#/catalog/433/problem/101172","open problem")</f>
        <v>open problem</v>
      </c>
    </row>
    <row r="570">
      <c r="A570" s="2" t="inlineStr">
        <is>
          <t xml:space="preserve">agree</t>
        </is>
      </c>
      <c r="B570" s="2" t="inlineStr">
        <is>
          <t xml:space="preserve">Spring tournament</t>
        </is>
      </c>
      <c r="C570" s="8" t="inlineStr">
        <is>
          <t xml:space="preserve">C</t>
        </is>
      </c>
      <c r="D570" s="8">
        <v>2019</v>
      </c>
      <c r="E570" s="6">
        <v>4</v>
      </c>
      <c r="F570" s="2" t="inlineStr">
        <is>
          <t xml:space="preserve">Hard</t>
        </is>
      </c>
      <c r="G570" s="2" t="inlineStr">
        <is>
          <t xml:space="preserve">Prefix sums</t>
        </is>
      </c>
      <c r="H570" s="2" t="inlineStr">
        <is>
          <t xml:space="preserve">Counting / Frequency arrays</t>
        </is>
      </c>
      <c r="I570" s="2" t="inlineStr">
        <is>
          <t xml:space="preserve">Prefix sums, Counting array, Long long</t>
        </is>
      </c>
      <c r="J570" s="2" t="inlineStr">
        <is>
          <t xml:space="preserve">Map consonant/vowel to +1/-1 and count prefix pairs with a positive difference</t>
        </is>
      </c>
      <c r="K570" s="2" t="inlineStr">
        <is>
          <t xml:space="preserve">Броене с масив (counting)</t>
        </is>
      </c>
      <c r="L570" s="9" t="str">
        <f>HYPERLINK("https://arena.olimpiici.com/#/catalog/433/problem/101173","open problem")</f>
        <v>open problem</v>
      </c>
    </row>
    <row r="571">
      <c r="A571" s="2" t="inlineStr">
        <is>
          <t xml:space="preserve">first</t>
        </is>
      </c>
      <c r="B571" s="2" t="inlineStr">
        <is>
          <t xml:space="preserve">Spring tournament</t>
        </is>
      </c>
      <c r="C571" s="8" t="inlineStr">
        <is>
          <t xml:space="preserve">C</t>
        </is>
      </c>
      <c r="D571" s="8">
        <v>2019</v>
      </c>
      <c r="E571" s="6">
        <v>4</v>
      </c>
      <c r="F571" s="2" t="inlineStr">
        <is>
          <t xml:space="preserve">Hard</t>
        </is>
      </c>
      <c r="G571" s="2" t="inlineStr">
        <is>
          <t xml:space="preserve">Dynamic programming</t>
        </is>
      </c>
      <c r="H571" s="2" t="inlineStr">
        <is>
          <t xml:space="preserve">Number theory</t>
        </is>
      </c>
      <c r="I571" s="2" t="inlineStr">
        <is>
          <t xml:space="preserve">Arrays, Long long, Math</t>
        </is>
      </c>
      <c r="J571" s="2" t="inlineStr">
        <is>
          <t xml:space="preserve">Digit DP over the sum of squared digits, with happy sums precomputed</t>
        </is>
      </c>
      <c r="K571" s="2" t="inlineStr">
        <is>
          <t xml:space="preserve">Динамично програмиране (Dynamic programming); DP - Брой числа в интервал</t>
        </is>
      </c>
      <c r="L571" s="9" t="str">
        <f>HYPERLINK("https://arena.olimpiici.com/#/catalog/433/problem/101174","open problem")</f>
        <v>open problem</v>
      </c>
    </row>
    <row r="572">
      <c r="A572" s="2" t="inlineStr">
        <is>
          <t xml:space="preserve">Tgame</t>
        </is>
      </c>
      <c r="B572" s="2" t="inlineStr">
        <is>
          <t xml:space="preserve">Spring tournament</t>
        </is>
      </c>
      <c r="C572" s="8" t="inlineStr">
        <is>
          <t xml:space="preserve">C</t>
        </is>
      </c>
      <c r="D572" s="8">
        <v>2019</v>
      </c>
      <c r="E572" s="7">
        <v>5</v>
      </c>
      <c r="F572" s="2" t="inlineStr">
        <is>
          <t xml:space="preserve">Very hard</t>
        </is>
      </c>
      <c r="G572" s="2" t="inlineStr">
        <is>
          <t xml:space="preserve">Dynamic programming</t>
        </is>
      </c>
      <c r="H572" s="2" t="inlineStr">
        <is>
          <t xml:space="preserve">Trees</t>
        </is>
      </c>
      <c r="I572" s="2" t="inlineStr">
        <is>
          <t xml:space="preserve">Vectors, Recursion, Math</t>
        </is>
      </c>
      <c r="J572" s="2" t="inlineStr">
        <is>
          <t xml:space="preserve">Tree DP over how many red leaves each subtree gets, maximising the win probability</t>
        </is>
      </c>
      <c r="K572" s="2" t="inlineStr">
        <is>
          <t xml:space="preserve">Динамично програмиране (Dynamic programming); Графи / Дървета; Математика / Вероятности; Floating point arithmetics</t>
        </is>
      </c>
      <c r="L572" s="9" t="str">
        <f>HYPERLINK("https://arena.olimpiici.com/#/catalog/433/problem/101182","open problem")</f>
        <v>open problem</v>
      </c>
    </row>
    <row r="573">
      <c r="A573" s="2" t="inlineStr">
        <is>
          <t xml:space="preserve">dg2</t>
        </is>
      </c>
      <c r="B573" s="2" t="inlineStr">
        <is>
          <t xml:space="preserve">Spring tournament</t>
        </is>
      </c>
      <c r="C573" s="8" t="inlineStr">
        <is>
          <t xml:space="preserve">C</t>
        </is>
      </c>
      <c r="D573" s="8">
        <v>2021</v>
      </c>
      <c r="E573" s="6">
        <v>4</v>
      </c>
      <c r="F573" s="2" t="inlineStr">
        <is>
          <t xml:space="preserve">Hard</t>
        </is>
      </c>
      <c r="G573" s="2" t="inlineStr">
        <is>
          <t xml:space="preserve">Two pointers / Sliding window</t>
        </is>
      </c>
      <c r="H573" s="2" t="inlineStr">
        <is>
          <t xml:space="preserve">Greedy</t>
        </is>
      </c>
      <c r="I573" s="2" t="inlineStr">
        <is>
          <t xml:space="preserve">Strings, Arrays, Loops</t>
        </is>
      </c>
      <c r="J573" s="2" t="inlineStr">
        <is>
          <t xml:space="preserve">For each block size K, greedily take alternating runs and keep the longest result</t>
        </is>
      </c>
      <c r="K573" s="2" t="inlineStr">
        <is>
          <t xml:space="preserve"/>
        </is>
      </c>
      <c r="L573" s="9" t="str">
        <f>HYPERLINK("https://arena.olimpiici.com/#/catalog/600/problem/101483","open problem")</f>
        <v>open problem</v>
      </c>
    </row>
    <row r="574">
      <c r="A574" s="2" t="inlineStr">
        <is>
          <t xml:space="preserve">funny</t>
        </is>
      </c>
      <c r="B574" s="2" t="inlineStr">
        <is>
          <t xml:space="preserve">Spring tournament</t>
        </is>
      </c>
      <c r="C574" s="8" t="inlineStr">
        <is>
          <t xml:space="preserve">C</t>
        </is>
      </c>
      <c r="D574" s="8">
        <v>2021</v>
      </c>
      <c r="E574" s="6">
        <v>4</v>
      </c>
      <c r="F574" s="2" t="inlineStr">
        <is>
          <t xml:space="preserve">Hard</t>
        </is>
      </c>
      <c r="G574" s="2" t="inlineStr">
        <is>
          <t xml:space="preserve">Combinatorics</t>
        </is>
      </c>
      <c r="H574" s="2" t="inlineStr">
        <is>
          <t xml:space="preserve">Big numbers</t>
        </is>
      </c>
      <c r="I574" s="2" t="inlineStr">
        <is>
          <t xml:space="preserve">Big integers, Math, Arrays</t>
        </is>
      </c>
      <c r="J574" s="2" t="inlineStr">
        <is>
          <t xml:space="preserve">Insert the cards by value, multiplying the available slot counts; needs big numbers</t>
        </is>
      </c>
      <c r="K574" s="2" t="inlineStr">
        <is>
          <t xml:space="preserve">Комбинаторика; Дълги числа (Big numbers)</t>
        </is>
      </c>
      <c r="L574" s="9" t="str">
        <f>HYPERLINK("https://arena.olimpiici.com/#/catalog/600/problem/101484","open problem")</f>
        <v>open problem</v>
      </c>
    </row>
    <row r="575">
      <c r="A575" s="2" t="inlineStr">
        <is>
          <t xml:space="preserve">red</t>
        </is>
      </c>
      <c r="B575" s="2" t="inlineStr">
        <is>
          <t xml:space="preserve">Spring tournament</t>
        </is>
      </c>
      <c r="C575" s="8" t="inlineStr">
        <is>
          <t xml:space="preserve">C</t>
        </is>
      </c>
      <c r="D575" s="8">
        <v>2021</v>
      </c>
      <c r="E575" s="6">
        <v>4</v>
      </c>
      <c r="F575" s="2" t="inlineStr">
        <is>
          <t xml:space="preserve">Hard</t>
        </is>
      </c>
      <c r="G575" s="2" t="inlineStr">
        <is>
          <t xml:space="preserve">Greedy</t>
        </is>
      </c>
      <c r="H575" s="2" t="inlineStr">
        <is>
          <t xml:space="preserve">Prefix sums</t>
        </is>
      </c>
      <c r="I575" s="2" t="inlineStr">
        <is>
          <t xml:space="preserve">Prefix sums, Sorting, Long long</t>
        </is>
      </c>
      <c r="J575" s="2" t="inlineStr">
        <is>
          <t xml:space="preserve">Each position has a coverage weight: spend the budget on the highest weights first</t>
        </is>
      </c>
      <c r="K575" s="2" t="inlineStr">
        <is>
          <t xml:space="preserve">Геометрия / Метяща права (sweep line)</t>
        </is>
      </c>
      <c r="L575" s="9" t="str">
        <f>HYPERLINK("https://arena.olimpiici.com/#/catalog/600/problem/101485","open problem")</f>
        <v>open problem</v>
      </c>
    </row>
    <row r="576">
      <c r="A576" s="2" t="inlineStr">
        <is>
          <t xml:space="preserve">rect</t>
        </is>
      </c>
      <c r="B576" s="2" t="inlineStr">
        <is>
          <t xml:space="preserve">Spring tournament</t>
        </is>
      </c>
      <c r="C576" s="8" t="inlineStr">
        <is>
          <t xml:space="preserve">C</t>
        </is>
      </c>
      <c r="D576" s="8">
        <v>2022</v>
      </c>
      <c r="E576" s="7">
        <v>5</v>
      </c>
      <c r="F576" s="2" t="inlineStr">
        <is>
          <t xml:space="preserve">Very hard</t>
        </is>
      </c>
      <c r="G576" s="2" t="inlineStr">
        <is>
          <t xml:space="preserve">Graph traversal (BFS/DFS)</t>
        </is>
      </c>
      <c r="H576" s="2" t="inlineStr">
        <is>
          <t xml:space="preserve">Grid/Matrix</t>
        </is>
      </c>
      <c r="I576" s="2" t="inlineStr">
        <is>
          <t xml:space="preserve">2D arrays, Vectors, Grid/Matrix</t>
        </is>
      </c>
      <c r="J576" s="2" t="inlineStr">
        <is>
          <t xml:space="preserve">Later rectangles overwrite earlier ones: topologically order the overlaps</t>
        </is>
      </c>
      <c r="K576" s="2" t="inlineStr">
        <is>
          <t xml:space="preserve">Графи / Топологично сортиране</t>
        </is>
      </c>
      <c r="L576" s="9" t="str">
        <f>HYPERLINK("https://arena.olimpiici.com/#/catalog/694/problem/101769","open problem")</f>
        <v>open problem</v>
      </c>
    </row>
    <row r="577">
      <c r="A577" s="2" t="inlineStr">
        <is>
          <t xml:space="preserve">village</t>
        </is>
      </c>
      <c r="B577" s="2" t="inlineStr">
        <is>
          <t xml:space="preserve">Spring tournament</t>
        </is>
      </c>
      <c r="C577" s="8" t="inlineStr">
        <is>
          <t xml:space="preserve">C</t>
        </is>
      </c>
      <c r="D577" s="8">
        <v>2022</v>
      </c>
      <c r="E577" s="6">
        <v>4</v>
      </c>
      <c r="F577" s="2" t="inlineStr">
        <is>
          <t xml:space="preserve">Hard</t>
        </is>
      </c>
      <c r="G577" s="2" t="inlineStr">
        <is>
          <t xml:space="preserve">Combinatorics</t>
        </is>
      </c>
      <c r="H577" s="2" t="inlineStr">
        <is>
          <t xml:space="preserve">Bit manipulation</t>
        </is>
      </c>
      <c r="I577" s="2" t="inlineStr">
        <is>
          <t xml:space="preserve">Bitmask, Long long, Math</t>
        </is>
      </c>
      <c r="J577" s="2" t="inlineStr">
        <is>
          <t xml:space="preserve">Digit DP over binary positions counting numbers with exactly k zero bits</t>
        </is>
      </c>
      <c r="K577" s="2" t="inlineStr">
        <is>
          <t xml:space="preserve">Комбинаторика; Побитови операции</t>
        </is>
      </c>
      <c r="L577" s="9" t="str">
        <f>HYPERLINK("https://arena.olimpiici.com/#/catalog/694/problem/101770","open problem")</f>
        <v>open problem</v>
      </c>
    </row>
    <row r="578">
      <c r="A578" s="2" t="inlineStr">
        <is>
          <t xml:space="preserve">game18</t>
        </is>
      </c>
      <c r="B578" s="2" t="inlineStr">
        <is>
          <t xml:space="preserve">Spring tournament</t>
        </is>
      </c>
      <c r="C578" s="8" t="inlineStr">
        <is>
          <t xml:space="preserve">C</t>
        </is>
      </c>
      <c r="D578" s="8">
        <v>2022</v>
      </c>
      <c r="E578" s="6">
        <v>4</v>
      </c>
      <c r="F578" s="2" t="inlineStr">
        <is>
          <t xml:space="preserve">Hard</t>
        </is>
      </c>
      <c r="G578" s="2" t="inlineStr">
        <is>
          <t xml:space="preserve">Game theory</t>
        </is>
      </c>
      <c r="H578" s="2" t="inlineStr">
        <is>
          <t xml:space="preserve">Recursion / Backtracking</t>
        </is>
      </c>
      <c r="I578" s="2" t="inlineStr">
        <is>
          <t xml:space="preserve">Bitmask, Recursion, Arrays</t>
        </is>
      </c>
      <c r="J578" s="2" t="inlineStr">
        <is>
          <t xml:space="preserve">18 edges fit a bitmask: minimax search over the remaining moves</t>
        </is>
      </c>
      <c r="K578" s="2" t="inlineStr">
        <is>
          <t xml:space="preserve"/>
        </is>
      </c>
      <c r="L578" s="9" t="str">
        <f>HYPERLINK("https://arena.olimpiici.com/#/catalog/694/problem/101771","open problem")</f>
        <v>open problem</v>
      </c>
    </row>
    <row r="579">
      <c r="A579" s="2" t="inlineStr">
        <is>
          <t xml:space="preserve">connect</t>
        </is>
      </c>
      <c r="B579" s="2" t="inlineStr">
        <is>
          <t xml:space="preserve">Spring tournament</t>
        </is>
      </c>
      <c r="C579" s="8" t="inlineStr">
        <is>
          <t xml:space="preserve">C</t>
        </is>
      </c>
      <c r="D579" s="8">
        <v>2023</v>
      </c>
      <c r="E579" s="6">
        <v>4</v>
      </c>
      <c r="F579" s="2" t="inlineStr">
        <is>
          <t xml:space="preserve">Hard</t>
        </is>
      </c>
      <c r="G579" s="2" t="inlineStr">
        <is>
          <t xml:space="preserve">Data structures</t>
        </is>
      </c>
      <c r="H579" s="2" t="inlineStr">
        <is>
          <t xml:space="preserve">Sorting</t>
        </is>
      </c>
      <c r="I579" s="2" t="inlineStr">
        <is>
          <t xml:space="preserve">Sorting, Vectors, Long long</t>
        </is>
      </c>
      <c r="J579" s="2" t="inlineStr">
        <is>
          <t xml:space="preserve">Connect components by nearest heights: sort and run an MST over the candidate edges</t>
        </is>
      </c>
      <c r="K579" s="2" t="inlineStr">
        <is>
          <t xml:space="preserve">Графи / Минимално покриващо дърво (Minimal Spanning Tree)</t>
        </is>
      </c>
      <c r="L579" s="9" t="str">
        <f>HYPERLINK("https://arena.olimpiici.com/#/catalog/761/problem/101976","open problem")</f>
        <v>open problem</v>
      </c>
    </row>
    <row r="580">
      <c r="A580" s="2" t="inlineStr">
        <is>
          <t xml:space="preserve">marvel</t>
        </is>
      </c>
      <c r="B580" s="2" t="inlineStr">
        <is>
          <t xml:space="preserve">Spring tournament</t>
        </is>
      </c>
      <c r="C580" s="8" t="inlineStr">
        <is>
          <t xml:space="preserve">C</t>
        </is>
      </c>
      <c r="D580" s="8">
        <v>2023</v>
      </c>
      <c r="E580" s="6">
        <v>4</v>
      </c>
      <c r="F580" s="2" t="inlineStr">
        <is>
          <t xml:space="preserve">Hard</t>
        </is>
      </c>
      <c r="G580" s="2" t="inlineStr">
        <is>
          <t xml:space="preserve">Math / Formula</t>
        </is>
      </c>
      <c r="H580" s="2" t="inlineStr">
        <is>
          <t xml:space="preserve">Implementation / Simulation</t>
        </is>
      </c>
      <c r="I580" s="2" t="inlineStr">
        <is>
          <t xml:space="preserve">Long long, Arrays, Loops</t>
        </is>
      </c>
      <c r="J580" s="2" t="inlineStr">
        <is>
          <t xml:space="preserve">Golomb's self-describing sequence: build run lengths until they pass n</t>
        </is>
      </c>
      <c r="K580" s="2" t="inlineStr">
        <is>
          <t xml:space="preserve"/>
        </is>
      </c>
      <c r="L580" s="9" t="str">
        <f>HYPERLINK("https://arena.olimpiici.com/#/catalog/761/problem/101977","open problem")</f>
        <v>open problem</v>
      </c>
    </row>
    <row r="581">
      <c r="A581" s="2" t="inlineStr">
        <is>
          <t xml:space="preserve">parade</t>
        </is>
      </c>
      <c r="B581" s="2" t="inlineStr">
        <is>
          <t xml:space="preserve">Spring tournament</t>
        </is>
      </c>
      <c r="C581" s="8" t="inlineStr">
        <is>
          <t xml:space="preserve">C</t>
        </is>
      </c>
      <c r="D581" s="8">
        <v>2023</v>
      </c>
      <c r="E581" s="6">
        <v>4</v>
      </c>
      <c r="F581" s="2" t="inlineStr">
        <is>
          <t xml:space="preserve">Hard</t>
        </is>
      </c>
      <c r="G581" s="2" t="inlineStr">
        <is>
          <t xml:space="preserve">Binary search</t>
        </is>
      </c>
      <c r="H581" s="2" t="inlineStr">
        <is>
          <t xml:space="preserve">Dynamic programming</t>
        </is>
      </c>
      <c r="I581" s="2" t="inlineStr">
        <is>
          <t xml:space="preserve">Sorting, Arrays, Binary search</t>
        </is>
      </c>
      <c r="J581" s="2" t="inlineStr">
        <is>
          <t xml:space="preserve">Binary search the allowed difference and check feasibility greedily per squad</t>
        </is>
      </c>
      <c r="K581" s="2" t="inlineStr">
        <is>
          <t xml:space="preserve">Двоично търсене по отговора (binary search); Динамично програмиране (Dynamic programming)</t>
        </is>
      </c>
      <c r="L581" s="9" t="str">
        <f>HYPERLINK("https://arena.olimpiici.com/#/catalog/761/problem/101978","open problem")</f>
        <v>open problem</v>
      </c>
    </row>
    <row r="582">
      <c r="A582" s="2" t="inlineStr">
        <is>
          <t xml:space="preserve">parentheses</t>
        </is>
      </c>
      <c r="B582" s="2" t="inlineStr">
        <is>
          <t xml:space="preserve">Spring tournament</t>
        </is>
      </c>
      <c r="C582" s="8" t="inlineStr">
        <is>
          <t xml:space="preserve">C</t>
        </is>
      </c>
      <c r="D582" s="8">
        <v>2024</v>
      </c>
      <c r="E582" s="7">
        <v>5</v>
      </c>
      <c r="F582" s="2" t="inlineStr">
        <is>
          <t xml:space="preserve">Very hard</t>
        </is>
      </c>
      <c r="G582" s="2" t="inlineStr">
        <is>
          <t xml:space="preserve">Data structures</t>
        </is>
      </c>
      <c r="H582" s="2" t="inlineStr">
        <is>
          <t xml:space="preserve">Prefix sums</t>
        </is>
      </c>
      <c r="I582" s="2" t="inlineStr">
        <is>
          <t xml:space="preserve">Prefix sums, Arrays, Long long</t>
        </is>
      </c>
      <c r="J582" s="2" t="inlineStr">
        <is>
          <t xml:space="preserve">Swaps needed equal the deficit of the prefix balance; range queries need an RMQ structure</t>
        </is>
      </c>
      <c r="K582" s="2" t="inlineStr">
        <is>
          <t xml:space="preserve">Advanced / Сегментно дърво; Advanced / RMQ; Advanced / Sparse Table</t>
        </is>
      </c>
      <c r="L582" s="9" t="str">
        <f>HYPERLINK("https://arena.olimpiici.com/#/catalog/809/problem/102151","open problem")</f>
        <v>open problem</v>
      </c>
    </row>
    <row r="583">
      <c r="A583" s="2" t="inlineStr">
        <is>
          <t xml:space="preserve">tolls</t>
        </is>
      </c>
      <c r="B583" s="2" t="inlineStr">
        <is>
          <t xml:space="preserve">Spring tournament</t>
        </is>
      </c>
      <c r="C583" s="8" t="inlineStr">
        <is>
          <t xml:space="preserve">C</t>
        </is>
      </c>
      <c r="D583" s="8">
        <v>2024</v>
      </c>
      <c r="E583" s="7">
        <v>5</v>
      </c>
      <c r="F583" s="2" t="inlineStr">
        <is>
          <t xml:space="preserve">Very hard</t>
        </is>
      </c>
      <c r="G583" s="2" t="inlineStr">
        <is>
          <t xml:space="preserve">Data structures</t>
        </is>
      </c>
      <c r="H583" s="2" t="inlineStr">
        <is>
          <t xml:space="preserve">Sorting</t>
        </is>
      </c>
      <c r="I583" s="2" t="inlineStr">
        <is>
          <t xml:space="preserve">Sorting, Vectors, Long long</t>
        </is>
      </c>
      <c r="J583" s="2" t="inlineStr">
        <is>
          <t xml:space="preserve">Add edges in weight order with union-find: each edge is the maximum for size_a*size_b paths</t>
        </is>
      </c>
      <c r="K583" s="2" t="inlineStr">
        <is>
          <t xml:space="preserve">Графи / Дървета; Advanced / Union Find / Disjoint Set Union; Префиксни суми (prefix array)</t>
        </is>
      </c>
      <c r="L583" s="9" t="str">
        <f>HYPERLINK("https://arena.olimpiici.com/#/catalog/809/problem/102152","open problem")</f>
        <v>open problem</v>
      </c>
    </row>
    <row r="584">
      <c r="A584" s="2" t="inlineStr">
        <is>
          <t xml:space="preserve">xy</t>
        </is>
      </c>
      <c r="B584" s="2" t="inlineStr">
        <is>
          <t xml:space="preserve">Spring tournament</t>
        </is>
      </c>
      <c r="C584" s="8" t="inlineStr">
        <is>
          <t xml:space="preserve">C</t>
        </is>
      </c>
      <c r="D584" s="8">
        <v>2024</v>
      </c>
      <c r="E584" s="7">
        <v>5</v>
      </c>
      <c r="F584" s="2" t="inlineStr">
        <is>
          <t xml:space="preserve">Very hard</t>
        </is>
      </c>
      <c r="G584" s="2" t="inlineStr">
        <is>
          <t xml:space="preserve">Constructive</t>
        </is>
      </c>
      <c r="H584" s="2" t="inlineStr">
        <is>
          <t xml:space="preserve">Graph traversal (BFS/DFS)</t>
        </is>
      </c>
      <c r="I584" s="2" t="inlineStr">
        <is>
          <t xml:space="preserve">Arrays, Vectors, Math</t>
        </is>
      </c>
      <c r="J584" s="2" t="inlineStr">
        <is>
          <t xml:space="preserve">Window constraints form a difference-constraint graph; the length is bounded by x+y-gcd(x,y)-1</t>
        </is>
      </c>
      <c r="K584" s="2" t="inlineStr">
        <is>
          <t xml:space="preserve">Графи; Графи / Топологично сортиране; Периодичност</t>
        </is>
      </c>
      <c r="L584" s="9" t="str">
        <f>HYPERLINK("https://arena.olimpiici.com/#/catalog/809/problem/102153","open problem")</f>
        <v>open problem</v>
      </c>
    </row>
    <row r="585">
      <c r="A585" s="2" t="inlineStr">
        <is>
          <t xml:space="preserve">bouquets</t>
        </is>
      </c>
      <c r="B585" s="2" t="inlineStr">
        <is>
          <t xml:space="preserve">Spring tournament</t>
        </is>
      </c>
      <c r="C585" s="8" t="inlineStr">
        <is>
          <t xml:space="preserve">C</t>
        </is>
      </c>
      <c r="D585" s="8">
        <v>2025</v>
      </c>
      <c r="E585" s="7">
        <v>5</v>
      </c>
      <c r="F585" s="2" t="inlineStr">
        <is>
          <t xml:space="preserve">Very hard</t>
        </is>
      </c>
      <c r="G585" s="2" t="inlineStr">
        <is>
          <t xml:space="preserve">Combinatorics</t>
        </is>
      </c>
      <c r="H585" s="2" t="inlineStr">
        <is>
          <t xml:space="preserve">Big numbers</t>
        </is>
      </c>
      <c r="I585" s="2" t="inlineStr">
        <is>
          <t xml:space="preserve">Big integers, Binary search, Counting array</t>
        </is>
      </c>
      <c r="J585" s="2" t="inlineStr">
        <is>
          <t xml:space="preserve">Find the smallest bouquet size whose number of flower subsets reaches the demand</t>
        </is>
      </c>
      <c r="K585" s="2" t="inlineStr">
        <is>
          <t xml:space="preserve">Дълги числа (Big numbers); Комбинаторни конфигурации и преброяване</t>
        </is>
      </c>
      <c r="L585" s="9" t="str">
        <f>HYPERLINK("https://arena.olimpiici.com/#/catalog/875/problem/102408","open problem")</f>
        <v>open problem</v>
      </c>
    </row>
    <row r="586">
      <c r="A586" s="2" t="inlineStr">
        <is>
          <t xml:space="preserve">kitten</t>
        </is>
      </c>
      <c r="B586" s="2" t="inlineStr">
        <is>
          <t xml:space="preserve">Spring tournament</t>
        </is>
      </c>
      <c r="C586" s="8" t="inlineStr">
        <is>
          <t xml:space="preserve">C</t>
        </is>
      </c>
      <c r="D586" s="8">
        <v>2025</v>
      </c>
      <c r="E586" s="7">
        <v>5</v>
      </c>
      <c r="F586" s="2" t="inlineStr">
        <is>
          <t xml:space="preserve">Very hard</t>
        </is>
      </c>
      <c r="G586" s="2" t="inlineStr">
        <is>
          <t xml:space="preserve">Binary search</t>
        </is>
      </c>
      <c r="H586" s="2" t="inlineStr">
        <is>
          <t xml:space="preserve">Trees</t>
        </is>
      </c>
      <c r="I586" s="2" t="inlineStr">
        <is>
          <t xml:space="preserve">Vectors, Recursion, Long long</t>
        </is>
      </c>
      <c r="J586" s="2" t="inlineStr">
        <is>
          <t xml:space="preserve">Binary search the diameter and check with a tree DP how many decrements it costs</t>
        </is>
      </c>
      <c r="K586" s="2" t="inlineStr">
        <is>
          <t xml:space="preserve"/>
        </is>
      </c>
      <c r="L586" s="9" t="str">
        <f>HYPERLINK("https://arena.olimpiici.com/#/catalog/875/problem/102409","open problem")</f>
        <v>open problem</v>
      </c>
    </row>
    <row r="587">
      <c r="A587" s="2" t="inlineStr">
        <is>
          <t xml:space="preserve">monopoly2</t>
        </is>
      </c>
      <c r="B587" s="2" t="inlineStr">
        <is>
          <t xml:space="preserve">Spring tournament</t>
        </is>
      </c>
      <c r="C587" s="8" t="inlineStr">
        <is>
          <t xml:space="preserve">C</t>
        </is>
      </c>
      <c r="D587" s="8">
        <v>2025</v>
      </c>
      <c r="E587" s="7">
        <v>5</v>
      </c>
      <c r="F587" s="2" t="inlineStr">
        <is>
          <t xml:space="preserve">Very hard</t>
        </is>
      </c>
      <c r="G587" s="2" t="inlineStr">
        <is>
          <t xml:space="preserve">Binary search</t>
        </is>
      </c>
      <c r="H587" s="2" t="inlineStr">
        <is>
          <t xml:space="preserve">Constructive</t>
        </is>
      </c>
      <c r="I587" s="2" t="inlineStr">
        <is>
          <t xml:space="preserve">Vectors, Arrays, I/O parsing</t>
        </is>
      </c>
      <c r="J587" s="2" t="inlineStr">
        <is>
          <t xml:space="preserve">Interactive: probe permutations to identify each DAG edge with as few questions as possible</t>
        </is>
      </c>
      <c r="K587" s="2" t="inlineStr">
        <is>
          <t xml:space="preserve">Интерактивна задача; Двоично търсене (binary search)</t>
        </is>
      </c>
      <c r="L587" s="9" t="str">
        <f>HYPERLINK("https://arena.olimpiici.com/#/catalog/875/problem/102410","open problem")</f>
        <v>open problem</v>
      </c>
    </row>
    <row r="588">
      <c r="A588" s="2" t="inlineStr">
        <is>
          <t xml:space="preserve">eagers</t>
        </is>
      </c>
      <c r="B588" s="2" t="inlineStr">
        <is>
          <t xml:space="preserve">Spring tournament</t>
        </is>
      </c>
      <c r="C588" s="8" t="inlineStr">
        <is>
          <t xml:space="preserve">C</t>
        </is>
      </c>
      <c r="D588" s="8">
        <v>2026</v>
      </c>
      <c r="E588" s="7">
        <v>5</v>
      </c>
      <c r="F588" s="2" t="inlineStr">
        <is>
          <t xml:space="preserve">Very hard</t>
        </is>
      </c>
      <c r="G588" s="2" t="inlineStr">
        <is>
          <t xml:space="preserve">Bit manipulation</t>
        </is>
      </c>
      <c r="H588" s="2" t="inlineStr">
        <is>
          <t xml:space="preserve">Greedy</t>
        </is>
      </c>
      <c r="I588" s="2" t="inlineStr">
        <is>
          <t xml:space="preserve">Bitmask, Arrays, Long long</t>
        </is>
      </c>
      <c r="J588" s="2" t="inlineStr">
        <is>
          <t xml:space="preserve">Fix the answer's bits from the top and check greedily whether K parts can keep them</t>
        </is>
      </c>
      <c r="K588" s="2" t="inlineStr">
        <is>
          <t xml:space="preserve"/>
        </is>
      </c>
      <c r="L588" s="9" t="str">
        <f>HYPERLINK("https://arena.olimpiici.com/#/catalog/950/problem/102689","open problem")</f>
        <v>open problem</v>
      </c>
    </row>
    <row r="589">
      <c r="A589" s="2" t="inlineStr">
        <is>
          <t xml:space="preserve">happy</t>
        </is>
      </c>
      <c r="B589" s="2" t="inlineStr">
        <is>
          <t xml:space="preserve">Spring tournament</t>
        </is>
      </c>
      <c r="C589" s="8" t="inlineStr">
        <is>
          <t xml:space="preserve">C</t>
        </is>
      </c>
      <c r="D589" s="8">
        <v>2026</v>
      </c>
      <c r="E589" s="7">
        <v>5</v>
      </c>
      <c r="F589" s="2" t="inlineStr">
        <is>
          <t xml:space="preserve">Very hard</t>
        </is>
      </c>
      <c r="G589" s="2" t="inlineStr">
        <is>
          <t xml:space="preserve">Trees</t>
        </is>
      </c>
      <c r="H589" s="2" t="inlineStr">
        <is>
          <t xml:space="preserve">Bit manipulation</t>
        </is>
      </c>
      <c r="I589" s="2" t="inlineStr">
        <is>
          <t xml:space="preserve">Bitmask, Vectors, Long long</t>
        </is>
      </c>
      <c r="J589" s="2" t="inlineStr">
        <is>
          <t xml:space="preserve">Path XOR is root-XOR difference; maintain per-bit counts of open nodes with range updates</t>
        </is>
      </c>
      <c r="K589" s="2" t="inlineStr">
        <is>
          <t xml:space="preserve"/>
        </is>
      </c>
      <c r="L589" s="9" t="str">
        <f>HYPERLINK("https://arena.olimpiici.com/#/catalog/950/problem/102690","open problem")</f>
        <v>open problem</v>
      </c>
    </row>
    <row r="590">
      <c r="A590" s="2" t="inlineStr">
        <is>
          <t xml:space="preserve">partition</t>
        </is>
      </c>
      <c r="B590" s="2" t="inlineStr">
        <is>
          <t xml:space="preserve">Spring tournament</t>
        </is>
      </c>
      <c r="C590" s="8" t="inlineStr">
        <is>
          <t xml:space="preserve">C</t>
        </is>
      </c>
      <c r="D590" s="8">
        <v>2026</v>
      </c>
      <c r="E590" s="7">
        <v>5</v>
      </c>
      <c r="F590" s="2" t="inlineStr">
        <is>
          <t xml:space="preserve">Very hard</t>
        </is>
      </c>
      <c r="G590" s="2" t="inlineStr">
        <is>
          <t xml:space="preserve">Greedy</t>
        </is>
      </c>
      <c r="H590" s="2" t="inlineStr">
        <is>
          <t xml:space="preserve">Constructive</t>
        </is>
      </c>
      <c r="I590" s="2" t="inlineStr">
        <is>
          <t xml:space="preserve">Sorting, Arrays, Long long</t>
        </is>
      </c>
      <c r="J590" s="2" t="inlineStr">
        <is>
          <t xml:space="preserve">Order packets so the prefix crosses half the candy as late (or early) as needed</t>
        </is>
      </c>
      <c r="K590" s="2" t="inlineStr">
        <is>
          <t xml:space="preserve"/>
        </is>
      </c>
      <c r="L590" s="9" t="str">
        <f>HYPERLINK("https://arena.olimpiici.com/#/catalog/950/problem/102691","open problem")</f>
        <v>open problem</v>
      </c>
    </row>
    <row r="591">
      <c r="A591" s="2" t="inlineStr">
        <is>
          <t xml:space="preserve">lamps</t>
        </is>
      </c>
      <c r="B591" s="2" t="inlineStr">
        <is>
          <t xml:space="preserve">Spring tournament</t>
        </is>
      </c>
      <c r="C591" s="8" t="inlineStr">
        <is>
          <t xml:space="preserve">D</t>
        </is>
      </c>
      <c r="D591" s="8">
        <v>2008</v>
      </c>
      <c r="E591" s="5">
        <v>3</v>
      </c>
      <c r="F591" s="2" t="inlineStr">
        <is>
          <t xml:space="preserve">Medium</t>
        </is>
      </c>
      <c r="G591" s="2" t="inlineStr">
        <is>
          <t xml:space="preserve">Number theory</t>
        </is>
      </c>
      <c r="H591" s="2" t="inlineStr">
        <is>
          <t xml:space="preserve">Math / Formula</t>
        </is>
      </c>
      <c r="I591" s="2" t="inlineStr">
        <is>
          <t xml:space="preserve">Long long, Math</t>
        </is>
      </c>
      <c r="J591" s="2" t="inlineStr">
        <is>
          <t xml:space="preserve">A lamp stays on iff its number has an odd divisor count, i.e. it is a perfect square</t>
        </is>
      </c>
      <c r="K591" s="2" t="inlineStr">
        <is>
          <t xml:space="preserve"/>
        </is>
      </c>
      <c r="L591" s="9" t="str">
        <f>HYPERLINK("https://arena.olimpiici.com/#/catalog/261/problem/100746","open problem")</f>
        <v>open problem</v>
      </c>
    </row>
    <row r="592">
      <c r="A592" s="2" t="inlineStr">
        <is>
          <t xml:space="preserve">numbers</t>
        </is>
      </c>
      <c r="B592" s="2" t="inlineStr">
        <is>
          <t xml:space="preserve">Spring tournament</t>
        </is>
      </c>
      <c r="C592" s="8" t="inlineStr">
        <is>
          <t xml:space="preserve">D</t>
        </is>
      </c>
      <c r="D592" s="8">
        <v>2008</v>
      </c>
      <c r="E592" s="5">
        <v>3</v>
      </c>
      <c r="F592" s="2" t="inlineStr">
        <is>
          <t xml:space="preserve">Medium</t>
        </is>
      </c>
      <c r="G592" s="2" t="inlineStr">
        <is>
          <t xml:space="preserve">Geometry</t>
        </is>
      </c>
      <c r="H592" s="2" t="inlineStr">
        <is>
          <t xml:space="preserve">Sorting</t>
        </is>
      </c>
      <c r="I592" s="2" t="inlineStr">
        <is>
          <t xml:space="preserve">Sorting, Structs, Math</t>
        </is>
      </c>
      <c r="J592" s="2" t="inlineStr">
        <is>
          <t xml:space="preserve">Count points inside each rectangle, then sort by the inscribed triangle's area</t>
        </is>
      </c>
      <c r="K592" s="2" t="inlineStr">
        <is>
          <t xml:space="preserve"/>
        </is>
      </c>
      <c r="L592" s="9" t="str">
        <f>HYPERLINK("https://arena.olimpiici.com/#/catalog/261/problem/100747","open problem")</f>
        <v>open problem</v>
      </c>
    </row>
    <row r="593">
      <c r="A593" s="2" t="inlineStr">
        <is>
          <t xml:space="preserve">sin</t>
        </is>
      </c>
      <c r="B593" s="2" t="inlineStr">
        <is>
          <t xml:space="preserve">Spring tournament</t>
        </is>
      </c>
      <c r="C593" s="8" t="inlineStr">
        <is>
          <t xml:space="preserve">D</t>
        </is>
      </c>
      <c r="D593" s="8">
        <v>2008</v>
      </c>
      <c r="E593" s="3">
        <v>1</v>
      </c>
      <c r="F593" s="2" t="inlineStr">
        <is>
          <t xml:space="preserve">Very easy</t>
        </is>
      </c>
      <c r="G593" s="2" t="inlineStr">
        <is>
          <t xml:space="preserve">Counting / Frequency arrays</t>
        </is>
      </c>
      <c r="H593" s="2" t="inlineStr">
        <is>
          <t xml:space="preserve">String processing</t>
        </is>
      </c>
      <c r="I593" s="2" t="inlineStr">
        <is>
          <t xml:space="preserve">Strings, Chars, Loops</t>
        </is>
      </c>
      <c r="J593" s="2" t="inlineStr">
        <is>
          <t xml:space="preserve">Scan for the longest run of identical forecast letters</t>
        </is>
      </c>
      <c r="K593" s="2" t="inlineStr">
        <is>
          <t xml:space="preserve">Разделяне на последователности</t>
        </is>
      </c>
      <c r="L593" s="9" t="str">
        <f>HYPERLINK("https://arena.olimpiici.com/#/catalog/261/problem/100748","open problem")</f>
        <v>open problem</v>
      </c>
    </row>
    <row r="594">
      <c r="A594" s="2" t="inlineStr">
        <is>
          <t xml:space="preserve">diff</t>
        </is>
      </c>
      <c r="B594" s="2" t="inlineStr">
        <is>
          <t xml:space="preserve">Spring tournament</t>
        </is>
      </c>
      <c r="C594" s="8" t="inlineStr">
        <is>
          <t xml:space="preserve">D</t>
        </is>
      </c>
      <c r="D594" s="8">
        <v>2009</v>
      </c>
      <c r="E594" s="6">
        <v>4</v>
      </c>
      <c r="F594" s="2" t="inlineStr">
        <is>
          <t xml:space="preserve">Hard</t>
        </is>
      </c>
      <c r="G594" s="2" t="inlineStr">
        <is>
          <t xml:space="preserve">Big numbers</t>
        </is>
      </c>
      <c r="H594" s="2" t="inlineStr">
        <is>
          <t xml:space="preserve">Number theory</t>
        </is>
      </c>
      <c r="I594" s="2" t="inlineStr">
        <is>
          <t xml:space="preserve">Big integers, Strings, Math</t>
        </is>
      </c>
      <c r="J594" s="2" t="inlineStr">
        <is>
          <t xml:space="preserve">Convert a 100-digit number to base k by repeated big-number division, then combine the digits</t>
        </is>
      </c>
      <c r="K594" s="2" t="inlineStr">
        <is>
          <t xml:space="preserve">Дълги числа (Big numbers); Математика / Бройни системи</t>
        </is>
      </c>
      <c r="L594" s="9" t="str">
        <f>HYPERLINK("https://arena.olimpiici.com/#/catalog/267/problem/100762","open problem")</f>
        <v>open problem</v>
      </c>
    </row>
    <row r="595">
      <c r="A595" s="2" t="inlineStr">
        <is>
          <t xml:space="preserve">line</t>
        </is>
      </c>
      <c r="B595" s="2" t="inlineStr">
        <is>
          <t xml:space="preserve">Spring tournament</t>
        </is>
      </c>
      <c r="C595" s="8" t="inlineStr">
        <is>
          <t xml:space="preserve">D</t>
        </is>
      </c>
      <c r="D595" s="8">
        <v>2009</v>
      </c>
      <c r="E595" s="5">
        <v>3</v>
      </c>
      <c r="F595" s="2" t="inlineStr">
        <is>
          <t xml:space="preserve">Medium</t>
        </is>
      </c>
      <c r="G595" s="2" t="inlineStr">
        <is>
          <t xml:space="preserve">Geometry</t>
        </is>
      </c>
      <c r="H595" s="2" t="inlineStr">
        <is>
          <t xml:space="preserve">Math / Formula</t>
        </is>
      </c>
      <c r="I595" s="2" t="inlineStr">
        <is>
          <t xml:space="preserve">Math, Arrays, Loops</t>
        </is>
      </c>
      <c r="J595" s="2" t="inlineStr">
        <is>
          <t xml:space="preserve">Convert node numbers to (row, position) and test the three line directions</t>
        </is>
      </c>
      <c r="K595" s="2" t="inlineStr">
        <is>
          <t xml:space="preserve">Двумерни и многомерни масиви; Броене с масив (counting)</t>
        </is>
      </c>
      <c r="L595" s="9" t="str">
        <f>HYPERLINK("https://arena.olimpiici.com/#/catalog/267/problem/100763","open problem")</f>
        <v>open problem</v>
      </c>
    </row>
    <row r="596">
      <c r="A596" s="2" t="inlineStr">
        <is>
          <t xml:space="preserve">dist</t>
        </is>
      </c>
      <c r="B596" s="2" t="inlineStr">
        <is>
          <t xml:space="preserve">Spring tournament</t>
        </is>
      </c>
      <c r="C596" s="8" t="inlineStr">
        <is>
          <t xml:space="preserve">D</t>
        </is>
      </c>
      <c r="D596" s="8">
        <v>2009</v>
      </c>
      <c r="E596" s="5">
        <v>3</v>
      </c>
      <c r="F596" s="2" t="inlineStr">
        <is>
          <t xml:space="preserve">Medium</t>
        </is>
      </c>
      <c r="G596" s="2" t="inlineStr">
        <is>
          <t xml:space="preserve">Two pointers / Sliding window</t>
        </is>
      </c>
      <c r="H596" s="2" t="inlineStr">
        <is>
          <t xml:space="preserve">Ad hoc / Observation</t>
        </is>
      </c>
      <c r="I596" s="2" t="inlineStr">
        <is>
          <t xml:space="preserve">Two pointers, Arrays, Loops</t>
        </is>
      </c>
      <c r="J596" s="2" t="inlineStr">
        <is>
          <t xml:space="preserve">Both sequences are non-increasing, so one sweep finds the largest valid j-i</t>
        </is>
      </c>
      <c r="K596" s="2" t="inlineStr">
        <is>
          <t xml:space="preserve">Метод на показалките / 2-pointers</t>
        </is>
      </c>
      <c r="L596" s="9" t="str">
        <f>HYPERLINK("https://arena.olimpiici.com/#/catalog/267/problem/100764","open problem")</f>
        <v>open problem</v>
      </c>
    </row>
    <row r="597">
      <c r="A597" s="2" t="inlineStr">
        <is>
          <t xml:space="preserve">runners</t>
        </is>
      </c>
      <c r="B597" s="2" t="inlineStr">
        <is>
          <t xml:space="preserve">Spring tournament</t>
        </is>
      </c>
      <c r="C597" s="8" t="inlineStr">
        <is>
          <t xml:space="preserve">D</t>
        </is>
      </c>
      <c r="D597" s="8">
        <v>2010</v>
      </c>
      <c r="E597" s="6">
        <v>4</v>
      </c>
      <c r="F597" s="2" t="inlineStr">
        <is>
          <t xml:space="preserve">Hard</t>
        </is>
      </c>
      <c r="G597" s="2" t="inlineStr">
        <is>
          <t xml:space="preserve">Implementation / Simulation</t>
        </is>
      </c>
      <c r="H597" s="2" t="inlineStr">
        <is>
          <t xml:space="preserve">Counting / Frequency arrays</t>
        </is>
      </c>
      <c r="I597" s="2" t="inlineStr">
        <is>
          <t xml:space="preserve">Counting array, Arrays, Long long</t>
        </is>
      </c>
      <c r="J597" s="2" t="inlineStr">
        <is>
          <t xml:space="preserve">Compute each runner's crossing times with fatigue and chocolate resets, then count coincidences</t>
        </is>
      </c>
      <c r="K597" s="2" t="inlineStr">
        <is>
          <t xml:space="preserve"/>
        </is>
      </c>
      <c r="L597" s="9" t="str">
        <f>HYPERLINK("https://arena.olimpiici.com/#/catalog/273/problem/100778","open problem")</f>
        <v>open problem</v>
      </c>
    </row>
    <row r="598">
      <c r="A598" s="2" t="inlineStr">
        <is>
          <t xml:space="preserve">equ</t>
        </is>
      </c>
      <c r="B598" s="2" t="inlineStr">
        <is>
          <t xml:space="preserve">Spring tournament</t>
        </is>
      </c>
      <c r="C598" s="8" t="inlineStr">
        <is>
          <t xml:space="preserve">D</t>
        </is>
      </c>
      <c r="D598" s="8">
        <v>2010</v>
      </c>
      <c r="E598" s="6">
        <v>4</v>
      </c>
      <c r="F598" s="2" t="inlineStr">
        <is>
          <t xml:space="preserve">Hard</t>
        </is>
      </c>
      <c r="G598" s="2" t="inlineStr">
        <is>
          <t xml:space="preserve">Big numbers</t>
        </is>
      </c>
      <c r="H598" s="2" t="inlineStr">
        <is>
          <t xml:space="preserve">Number theory</t>
        </is>
      </c>
      <c r="I598" s="2" t="inlineStr">
        <is>
          <t xml:space="preserve">Big integers, Strings, Loops</t>
        </is>
      </c>
      <c r="J598" s="2" t="inlineStr">
        <is>
          <t xml:space="preserve">For each base 2..10 evaluate A+B or A*B on 1000-digit numbers and compare with C</t>
        </is>
      </c>
      <c r="K598" s="2" t="inlineStr">
        <is>
          <t xml:space="preserve"/>
        </is>
      </c>
      <c r="L598" s="9" t="str">
        <f>HYPERLINK("https://arena.olimpiici.com/#/catalog/273/problem/100779","open problem")</f>
        <v>open problem</v>
      </c>
    </row>
    <row r="599">
      <c r="A599" s="2" t="inlineStr">
        <is>
          <t xml:space="preserve">password</t>
        </is>
      </c>
      <c r="B599" s="2" t="inlineStr">
        <is>
          <t xml:space="preserve">Spring tournament</t>
        </is>
      </c>
      <c r="C599" s="8" t="inlineStr">
        <is>
          <t xml:space="preserve">D</t>
        </is>
      </c>
      <c r="D599" s="8">
        <v>2010</v>
      </c>
      <c r="E599" s="5">
        <v>3</v>
      </c>
      <c r="F599" s="2" t="inlineStr">
        <is>
          <t xml:space="preserve">Medium</t>
        </is>
      </c>
      <c r="G599" s="2" t="inlineStr">
        <is>
          <t xml:space="preserve">Graph traversal (BFS/DFS)</t>
        </is>
      </c>
      <c r="H599" s="2" t="inlineStr">
        <is>
          <t xml:space="preserve">Combinatorics</t>
        </is>
      </c>
      <c r="I599" s="2" t="inlineStr">
        <is>
          <t xml:space="preserve">Sets, Strings, Queues</t>
        </is>
      </c>
      <c r="J599" s="2" t="inlineStr">
        <is>
          <t xml:space="preserve">BFS over the reachable letter arrangements (word length at most seven)</t>
        </is>
      </c>
      <c r="K599" s="2" t="inlineStr">
        <is>
          <t xml:space="preserve"/>
        </is>
      </c>
      <c r="L599" s="9" t="str">
        <f>HYPERLINK("https://arena.olimpiici.com/#/catalog/273/problem/100780","open problem")</f>
        <v>open problem</v>
      </c>
    </row>
    <row r="600">
      <c r="A600" s="2" t="inlineStr">
        <is>
          <t xml:space="preserve">competitors</t>
        </is>
      </c>
      <c r="B600" s="2" t="inlineStr">
        <is>
          <t xml:space="preserve">Spring tournament</t>
        </is>
      </c>
      <c r="C600" s="8" t="inlineStr">
        <is>
          <t xml:space="preserve">D</t>
        </is>
      </c>
      <c r="D600" s="8">
        <v>2011</v>
      </c>
      <c r="E600" s="5">
        <v>3</v>
      </c>
      <c r="F600" s="2" t="inlineStr">
        <is>
          <t xml:space="preserve">Medium</t>
        </is>
      </c>
      <c r="G600" s="2" t="inlineStr">
        <is>
          <t xml:space="preserve">Bit manipulation</t>
        </is>
      </c>
      <c r="H600" s="2" t="inlineStr">
        <is>
          <t xml:space="preserve">Brute force</t>
        </is>
      </c>
      <c r="I600" s="2" t="inlineStr">
        <is>
          <t xml:space="preserve">Bitmask, Arrays, Loops</t>
        </is>
      </c>
      <c r="J600" s="2" t="inlineStr">
        <is>
          <t xml:space="preserve">Set cover with N&lt;=10: try all subsets and keep the smallest covering all topics</t>
        </is>
      </c>
      <c r="K600" s="2" t="inlineStr">
        <is>
          <t xml:space="preserve"/>
        </is>
      </c>
      <c r="L600" s="9" t="str">
        <f>HYPERLINK("https://arena.olimpiici.com/#/catalog/279/problem/100793","open problem")</f>
        <v>open problem</v>
      </c>
    </row>
    <row r="601">
      <c r="A601" s="2" t="inlineStr">
        <is>
          <t xml:space="preserve">uncommon</t>
        </is>
      </c>
      <c r="B601" s="2" t="inlineStr">
        <is>
          <t xml:space="preserve">Spring tournament</t>
        </is>
      </c>
      <c r="C601" s="8" t="inlineStr">
        <is>
          <t xml:space="preserve">D</t>
        </is>
      </c>
      <c r="D601" s="8">
        <v>2011</v>
      </c>
      <c r="E601" s="5">
        <v>3</v>
      </c>
      <c r="F601" s="2" t="inlineStr">
        <is>
          <t xml:space="preserve">Medium</t>
        </is>
      </c>
      <c r="G601" s="2" t="inlineStr">
        <is>
          <t xml:space="preserve">Brute force</t>
        </is>
      </c>
      <c r="H601" s="2" t="inlineStr">
        <is>
          <t xml:space="preserve">Number theory</t>
        </is>
      </c>
      <c r="I601" s="2" t="inlineStr">
        <is>
          <t xml:space="preserve">Strings, Math, Loops</t>
        </is>
      </c>
      <c r="J601" s="2" t="inlineStr">
        <is>
          <t xml:space="preserve">For each p in [a,b] reverse the digits and test p*d == n*q</t>
        </is>
      </c>
      <c r="K601" s="2" t="inlineStr">
        <is>
          <t xml:space="preserve"/>
        </is>
      </c>
      <c r="L601" s="9" t="str">
        <f>HYPERLINK("https://arena.olimpiici.com/#/catalog/279/problem/100794","open problem")</f>
        <v>open problem</v>
      </c>
    </row>
    <row r="602">
      <c r="A602" s="2" t="inlineStr">
        <is>
          <t xml:space="preserve">safecode</t>
        </is>
      </c>
      <c r="B602" s="2" t="inlineStr">
        <is>
          <t xml:space="preserve">Spring tournament</t>
        </is>
      </c>
      <c r="C602" s="8" t="inlineStr">
        <is>
          <t xml:space="preserve">D</t>
        </is>
      </c>
      <c r="D602" s="8">
        <v>2011</v>
      </c>
      <c r="E602" s="6">
        <v>4</v>
      </c>
      <c r="F602" s="2" t="inlineStr">
        <is>
          <t xml:space="preserve">Hard</t>
        </is>
      </c>
      <c r="G602" s="2" t="inlineStr">
        <is>
          <t xml:space="preserve">Brute force</t>
        </is>
      </c>
      <c r="H602" s="2" t="inlineStr">
        <is>
          <t xml:space="preserve">Number theory</t>
        </is>
      </c>
      <c r="I602" s="2" t="inlineStr">
        <is>
          <t xml:space="preserve">Strings, Math, Loops</t>
        </is>
      </c>
      <c r="J602" s="2" t="inlineStr">
        <is>
          <t xml:space="preserve">Recover the smudged base-15 digits by trying values consistent with the recorded sum</t>
        </is>
      </c>
      <c r="K602" s="2" t="inlineStr">
        <is>
          <t xml:space="preserve"/>
        </is>
      </c>
      <c r="L602" s="9" t="str">
        <f>HYPERLINK("https://arena.olimpiici.com/#/catalog/279/problem/100795","open problem")</f>
        <v>open problem</v>
      </c>
    </row>
    <row r="603">
      <c r="A603" s="2" t="inlineStr">
        <is>
          <t xml:space="preserve">degree</t>
        </is>
      </c>
      <c r="B603" s="2" t="inlineStr">
        <is>
          <t xml:space="preserve">Spring tournament</t>
        </is>
      </c>
      <c r="C603" s="8" t="inlineStr">
        <is>
          <t xml:space="preserve">D</t>
        </is>
      </c>
      <c r="D603" s="8">
        <v>2012</v>
      </c>
      <c r="E603" s="4">
        <v>2</v>
      </c>
      <c r="F603" s="2" t="inlineStr">
        <is>
          <t xml:space="preserve">Easy</t>
        </is>
      </c>
      <c r="G603" s="2" t="inlineStr">
        <is>
          <t xml:space="preserve">Number theory</t>
        </is>
      </c>
      <c r="H603" s="2" t="inlineStr">
        <is>
          <t xml:space="preserve">Math / Formula</t>
        </is>
      </c>
      <c r="I603" s="2" t="inlineStr">
        <is>
          <t xml:space="preserve">Math, Long long, Loops</t>
        </is>
      </c>
      <c r="J603" s="2" t="inlineStr">
        <is>
          <t xml:space="preserve">Test every exponent: is the integer root raised back equal to x?</t>
        </is>
      </c>
      <c r="K603" s="2" t="inlineStr">
        <is>
          <t xml:space="preserve"/>
        </is>
      </c>
      <c r="L603" s="9" t="str">
        <f>HYPERLINK("https://arena.olimpiici.com/#/catalog/285/problem/100808","open problem")</f>
        <v>open problem</v>
      </c>
    </row>
    <row r="604">
      <c r="A604" s="2" t="inlineStr">
        <is>
          <t xml:space="preserve">processors</t>
        </is>
      </c>
      <c r="B604" s="2" t="inlineStr">
        <is>
          <t xml:space="preserve">Spring tournament</t>
        </is>
      </c>
      <c r="C604" s="8" t="inlineStr">
        <is>
          <t xml:space="preserve">D</t>
        </is>
      </c>
      <c r="D604" s="8">
        <v>2012</v>
      </c>
      <c r="E604" s="5">
        <v>3</v>
      </c>
      <c r="F604" s="2" t="inlineStr">
        <is>
          <t xml:space="preserve">Medium</t>
        </is>
      </c>
      <c r="G604" s="2" t="inlineStr">
        <is>
          <t xml:space="preserve">Implementation / Simulation</t>
        </is>
      </c>
      <c r="H604" s="2" t="inlineStr">
        <is>
          <t xml:space="preserve">Prefix sums</t>
        </is>
      </c>
      <c r="I604" s="2" t="inlineStr">
        <is>
          <t xml:space="preserve">Arrays, Loops, Long long</t>
        </is>
      </c>
      <c r="J604" s="2" t="inlineStr">
        <is>
          <t xml:space="preserve">Two-stage pipeline: track when each processor becomes free and the idle gaps</t>
        </is>
      </c>
      <c r="K604" s="2" t="inlineStr">
        <is>
          <t xml:space="preserve"/>
        </is>
      </c>
      <c r="L604" s="9" t="str">
        <f>HYPERLINK("https://arena.olimpiici.com/#/catalog/285/problem/100809","open problem")</f>
        <v>open problem</v>
      </c>
    </row>
    <row r="605">
      <c r="A605" s="2" t="inlineStr">
        <is>
          <t xml:space="preserve">robo</t>
        </is>
      </c>
      <c r="B605" s="2" t="inlineStr">
        <is>
          <t xml:space="preserve">Spring tournament</t>
        </is>
      </c>
      <c r="C605" s="8" t="inlineStr">
        <is>
          <t xml:space="preserve">D</t>
        </is>
      </c>
      <c r="D605" s="8">
        <v>2012</v>
      </c>
      <c r="E605" s="5">
        <v>3</v>
      </c>
      <c r="F605" s="2" t="inlineStr">
        <is>
          <t xml:space="preserve">Medium</t>
        </is>
      </c>
      <c r="G605" s="2" t="inlineStr">
        <is>
          <t xml:space="preserve">Implementation / Simulation</t>
        </is>
      </c>
      <c r="H605" s="2" t="inlineStr">
        <is>
          <t xml:space="preserve">Ad hoc / Observation</t>
        </is>
      </c>
      <c r="I605" s="2" t="inlineStr">
        <is>
          <t xml:space="preserve">Strings, Chars, Math</t>
        </is>
      </c>
      <c r="J605" s="2" t="inlineStr">
        <is>
          <t xml:space="preserve">Follow the turn/move commands, then derive the shortest command sequence to the same state</t>
        </is>
      </c>
      <c r="K605" s="2" t="inlineStr">
        <is>
          <t xml:space="preserve"/>
        </is>
      </c>
      <c r="L605" s="9" t="str">
        <f>HYPERLINK("https://arena.olimpiici.com/#/catalog/285/problem/100810","open problem")</f>
        <v>open problem</v>
      </c>
    </row>
    <row r="606">
      <c r="A606" s="2" t="inlineStr">
        <is>
          <t xml:space="preserve">weighing</t>
        </is>
      </c>
      <c r="B606" s="2" t="inlineStr">
        <is>
          <t xml:space="preserve">Spring tournament</t>
        </is>
      </c>
      <c r="C606" s="8" t="inlineStr">
        <is>
          <t xml:space="preserve">D</t>
        </is>
      </c>
      <c r="D606" s="8">
        <v>2013</v>
      </c>
      <c r="E606" s="5">
        <v>3</v>
      </c>
      <c r="F606" s="2" t="inlineStr">
        <is>
          <t xml:space="preserve">Medium</t>
        </is>
      </c>
      <c r="G606" s="2" t="inlineStr">
        <is>
          <t xml:space="preserve">Number theory</t>
        </is>
      </c>
      <c r="H606" s="2" t="inlineStr">
        <is>
          <t xml:space="preserve">Constructive</t>
        </is>
      </c>
      <c r="I606" s="2" t="inlineStr">
        <is>
          <t xml:space="preserve">Arrays, Math, Loops</t>
        </is>
      </c>
      <c r="J606" s="2" t="inlineStr">
        <is>
          <t xml:space="preserve">Balanced ternary: digits 2 become -1 with a carry, splitting weights between the pans</t>
        </is>
      </c>
      <c r="K606" s="2" t="inlineStr">
        <is>
          <t xml:space="preserve"/>
        </is>
      </c>
      <c r="L606" s="9" t="str">
        <f>HYPERLINK("https://arena.olimpiici.com/#/catalog/291/problem/100823","open problem")</f>
        <v>open problem</v>
      </c>
    </row>
    <row r="607">
      <c r="A607" s="2" t="inlineStr">
        <is>
          <t xml:space="preserve">travel</t>
        </is>
      </c>
      <c r="B607" s="2" t="inlineStr">
        <is>
          <t xml:space="preserve">Spring tournament</t>
        </is>
      </c>
      <c r="C607" s="8" t="inlineStr">
        <is>
          <t xml:space="preserve">D</t>
        </is>
      </c>
      <c r="D607" s="8">
        <v>2013</v>
      </c>
      <c r="E607" s="5">
        <v>3</v>
      </c>
      <c r="F607" s="2" t="inlineStr">
        <is>
          <t xml:space="preserve">Medium</t>
        </is>
      </c>
      <c r="G607" s="2" t="inlineStr">
        <is>
          <t xml:space="preserve">Graph traversal (BFS/DFS)</t>
        </is>
      </c>
      <c r="H607" s="2" t="inlineStr">
        <is>
          <t xml:space="preserve">Counting / Frequency arrays</t>
        </is>
      </c>
      <c r="I607" s="2" t="inlineStr">
        <is>
          <t xml:space="preserve">Counting array, Vectors, Arrays</t>
        </is>
      </c>
      <c r="J607" s="2" t="inlineStr">
        <is>
          <t xml:space="preserve">Degrees identify the missing card; then walk the path from city 0 to K</t>
        </is>
      </c>
      <c r="K607" s="2" t="inlineStr">
        <is>
          <t xml:space="preserve">Броене с масив (counting)</t>
        </is>
      </c>
      <c r="L607" s="9" t="str">
        <f>HYPERLINK("https://arena.olimpiici.com/#/catalog/291/problem/100824","open problem")</f>
        <v>open problem</v>
      </c>
    </row>
    <row r="608">
      <c r="A608" s="2" t="inlineStr">
        <is>
          <t xml:space="preserve">pentagonal</t>
        </is>
      </c>
      <c r="B608" s="2" t="inlineStr">
        <is>
          <t xml:space="preserve">Spring tournament</t>
        </is>
      </c>
      <c r="C608" s="8" t="inlineStr">
        <is>
          <t xml:space="preserve">D</t>
        </is>
      </c>
      <c r="D608" s="8">
        <v>2013</v>
      </c>
      <c r="E608" s="3">
        <v>1</v>
      </c>
      <c r="F608" s="2" t="inlineStr">
        <is>
          <t xml:space="preserve">Very easy</t>
        </is>
      </c>
      <c r="G608" s="2" t="inlineStr">
        <is>
          <t xml:space="preserve">Math / Formula</t>
        </is>
      </c>
      <c r="H608" s="2" t="inlineStr">
        <is>
          <t xml:space="preserve"/>
        </is>
      </c>
      <c r="I608" s="2" t="inlineStr">
        <is>
          <t xml:space="preserve">Long long, Math</t>
        </is>
      </c>
      <c r="J608" s="2" t="inlineStr">
        <is>
          <t xml:space="preserve">The k-th pentagonal number is k(3k-1)/2</t>
        </is>
      </c>
      <c r="K608" s="2" t="inlineStr">
        <is>
          <t xml:space="preserve"/>
        </is>
      </c>
      <c r="L608" s="9" t="str">
        <f>HYPERLINK("https://arena.olimpiici.com/#/catalog/291/problem/100825","open problem")</f>
        <v>open problem</v>
      </c>
    </row>
    <row r="609">
      <c r="A609" s="2" t="inlineStr">
        <is>
          <t xml:space="preserve">route</t>
        </is>
      </c>
      <c r="B609" s="2" t="inlineStr">
        <is>
          <t xml:space="preserve">Spring tournament</t>
        </is>
      </c>
      <c r="C609" s="8" t="inlineStr">
        <is>
          <t xml:space="preserve">D</t>
        </is>
      </c>
      <c r="D609" s="8">
        <v>2014</v>
      </c>
      <c r="E609" s="4">
        <v>2</v>
      </c>
      <c r="F609" s="2" t="inlineStr">
        <is>
          <t xml:space="preserve">Easy</t>
        </is>
      </c>
      <c r="G609" s="2" t="inlineStr">
        <is>
          <t xml:space="preserve">Dynamic programming</t>
        </is>
      </c>
      <c r="H609" s="2" t="inlineStr">
        <is>
          <t xml:space="preserve">Prefix sums</t>
        </is>
      </c>
      <c r="I609" s="2" t="inlineStr">
        <is>
          <t xml:space="preserve">Arrays, Long long, Loops</t>
        </is>
      </c>
      <c r="J609" s="2" t="inlineStr">
        <is>
          <t xml:space="preserve">Kadane's maximum subarray, keeping the earliest optimal start and end</t>
        </is>
      </c>
      <c r="K609" s="2" t="inlineStr">
        <is>
          <t xml:space="preserve"/>
        </is>
      </c>
      <c r="L609" s="9" t="str">
        <f>HYPERLINK("https://arena.olimpiici.com/#/catalog/297/problem/100838","open problem")</f>
        <v>open problem</v>
      </c>
    </row>
    <row r="610">
      <c r="A610" s="2" t="inlineStr">
        <is>
          <t xml:space="preserve">fina</t>
        </is>
      </c>
      <c r="B610" s="2" t="inlineStr">
        <is>
          <t xml:space="preserve">Spring tournament</t>
        </is>
      </c>
      <c r="C610" s="8" t="inlineStr">
        <is>
          <t xml:space="preserve">D</t>
        </is>
      </c>
      <c r="D610" s="8">
        <v>2014</v>
      </c>
      <c r="E610" s="5">
        <v>3</v>
      </c>
      <c r="F610" s="2" t="inlineStr">
        <is>
          <t xml:space="preserve">Medium</t>
        </is>
      </c>
      <c r="G610" s="2" t="inlineStr">
        <is>
          <t xml:space="preserve">Sorting</t>
        </is>
      </c>
      <c r="H610" s="2" t="inlineStr">
        <is>
          <t xml:space="preserve">String processing</t>
        </is>
      </c>
      <c r="I610" s="2" t="inlineStr">
        <is>
          <t xml:space="preserve">Sorting, Structs, Strings</t>
        </is>
      </c>
      <c r="J610" s="2" t="inlineStr">
        <is>
          <t xml:space="preserve">Sort each swimmer's results, then rank with a lexicographic multi-key comparator</t>
        </is>
      </c>
      <c r="K610" s="2" t="inlineStr">
        <is>
          <t xml:space="preserve"/>
        </is>
      </c>
      <c r="L610" s="9" t="str">
        <f>HYPERLINK("https://arena.olimpiici.com/#/catalog/297/problem/100839","open problem")</f>
        <v>open problem</v>
      </c>
    </row>
    <row r="611">
      <c r="A611" s="2" t="inlineStr">
        <is>
          <t xml:space="preserve">newgarden</t>
        </is>
      </c>
      <c r="B611" s="2" t="inlineStr">
        <is>
          <t xml:space="preserve">Spring tournament</t>
        </is>
      </c>
      <c r="C611" s="8" t="inlineStr">
        <is>
          <t xml:space="preserve">D</t>
        </is>
      </c>
      <c r="D611" s="8">
        <v>2014</v>
      </c>
      <c r="E611" s="4">
        <v>2</v>
      </c>
      <c r="F611" s="2" t="inlineStr">
        <is>
          <t xml:space="preserve">Easy</t>
        </is>
      </c>
      <c r="G611" s="2" t="inlineStr">
        <is>
          <t xml:space="preserve">Flood fill</t>
        </is>
      </c>
      <c r="H611" s="2" t="inlineStr">
        <is>
          <t xml:space="preserve">Grid/Matrix</t>
        </is>
      </c>
      <c r="I611" s="2" t="inlineStr">
        <is>
          <t xml:space="preserve">2D arrays, Grid/Matrix, Queues</t>
        </is>
      </c>
      <c r="J611" s="2" t="inlineStr">
        <is>
          <t xml:space="preserve">Largest connected component of empty cells and how many components reach that size</t>
        </is>
      </c>
      <c r="K611" s="2" t="inlineStr">
        <is>
          <t xml:space="preserve"/>
        </is>
      </c>
      <c r="L611" s="9" t="str">
        <f>HYPERLINK("https://arena.olimpiici.com/#/catalog/297/problem/100840","open problem")</f>
        <v>open problem</v>
      </c>
    </row>
    <row r="612">
      <c r="A612" s="2" t="inlineStr">
        <is>
          <t xml:space="preserve">robot</t>
        </is>
      </c>
      <c r="B612" s="2" t="inlineStr">
        <is>
          <t xml:space="preserve">Spring tournament</t>
        </is>
      </c>
      <c r="C612" s="8" t="inlineStr">
        <is>
          <t xml:space="preserve">D</t>
        </is>
      </c>
      <c r="D612" s="8">
        <v>2015</v>
      </c>
      <c r="E612" s="5">
        <v>3</v>
      </c>
      <c r="F612" s="2" t="inlineStr">
        <is>
          <t xml:space="preserve">Medium</t>
        </is>
      </c>
      <c r="G612" s="2" t="inlineStr">
        <is>
          <t xml:space="preserve">Combinatorics</t>
        </is>
      </c>
      <c r="H612" s="2" t="inlineStr">
        <is>
          <t xml:space="preserve">Dynamic programming</t>
        </is>
      </c>
      <c r="I612" s="2" t="inlineStr">
        <is>
          <t xml:space="preserve">2D arrays, Long long, Recursion</t>
        </is>
      </c>
      <c r="J612" s="2" t="inlineStr">
        <is>
          <t xml:space="preserve">Count length-k lattice walks ending at (i,j) with a small DP over positions</t>
        </is>
      </c>
      <c r="K612" s="2" t="inlineStr">
        <is>
          <t xml:space="preserve">Динамично програмиране (Dynamic programming); Рекурсия (recursion)</t>
        </is>
      </c>
      <c r="L612" s="9" t="str">
        <f>HYPERLINK("https://arena.olimpiici.com/#/catalog/303/problem/100853","open problem")</f>
        <v>open problem</v>
      </c>
    </row>
    <row r="613">
      <c r="A613" s="2" t="inlineStr">
        <is>
          <t xml:space="preserve">check</t>
        </is>
      </c>
      <c r="B613" s="2" t="inlineStr">
        <is>
          <t xml:space="preserve">Spring tournament</t>
        </is>
      </c>
      <c r="C613" s="8" t="inlineStr">
        <is>
          <t xml:space="preserve">D</t>
        </is>
      </c>
      <c r="D613" s="8">
        <v>2015</v>
      </c>
      <c r="E613" s="6">
        <v>4</v>
      </c>
      <c r="F613" s="2" t="inlineStr">
        <is>
          <t xml:space="preserve">Hard</t>
        </is>
      </c>
      <c r="G613" s="2" t="inlineStr">
        <is>
          <t xml:space="preserve">Implementation / Simulation</t>
        </is>
      </c>
      <c r="H613" s="2" t="inlineStr">
        <is>
          <t xml:space="preserve">Grid/Matrix</t>
        </is>
      </c>
      <c r="I613" s="2" t="inlineStr">
        <is>
          <t xml:space="preserve">Grid/Matrix, Arrays, Strings</t>
        </is>
      </c>
      <c r="J613" s="2" t="inlineStr">
        <is>
          <t xml:space="preserve">Track the crate's orientation through each roll and verify the screen never faces down</t>
        </is>
      </c>
      <c r="K613" s="2" t="inlineStr">
        <is>
          <t xml:space="preserve"/>
        </is>
      </c>
      <c r="L613" s="9" t="str">
        <f>HYPERLINK("https://arena.olimpiici.com/#/catalog/303/problem/100854","open problem")</f>
        <v>open problem</v>
      </c>
    </row>
    <row r="614">
      <c r="A614" s="2" t="inlineStr">
        <is>
          <t xml:space="preserve">dat</t>
        </is>
      </c>
      <c r="B614" s="2" t="inlineStr">
        <is>
          <t xml:space="preserve">Spring tournament</t>
        </is>
      </c>
      <c r="C614" s="8" t="inlineStr">
        <is>
          <t xml:space="preserve">D</t>
        </is>
      </c>
      <c r="D614" s="8">
        <v>2015</v>
      </c>
      <c r="E614" s="6">
        <v>4</v>
      </c>
      <c r="F614" s="2" t="inlineStr">
        <is>
          <t xml:space="preserve">Hard</t>
        </is>
      </c>
      <c r="G614" s="2" t="inlineStr">
        <is>
          <t xml:space="preserve">Greedy</t>
        </is>
      </c>
      <c r="H614" s="2" t="inlineStr">
        <is>
          <t xml:space="preserve">Counting / Frequency arrays</t>
        </is>
      </c>
      <c r="I614" s="2" t="inlineStr">
        <is>
          <t xml:space="preserve">Sorting, Arrays, Long long</t>
        </is>
      </c>
      <c r="J614" s="2" t="inlineStr">
        <is>
          <t xml:space="preserve">Covering a staircase region with row/column sensors reduces to a greedy matching</t>
        </is>
      </c>
      <c r="K614" s="2" t="inlineStr">
        <is>
          <t xml:space="preserve"/>
        </is>
      </c>
      <c r="L614" s="9" t="str">
        <f>HYPERLINK("https://arena.olimpiici.com/#/catalog/303/problem/100855","open problem")</f>
        <v>open problem</v>
      </c>
    </row>
    <row r="615">
      <c r="A615" s="2" t="inlineStr">
        <is>
          <t xml:space="preserve">timestamp</t>
        </is>
      </c>
      <c r="B615" s="2" t="inlineStr">
        <is>
          <t xml:space="preserve">Spring tournament</t>
        </is>
      </c>
      <c r="C615" s="8" t="inlineStr">
        <is>
          <t xml:space="preserve">D</t>
        </is>
      </c>
      <c r="D615" s="8">
        <v>2016</v>
      </c>
      <c r="E615" s="6">
        <v>4</v>
      </c>
      <c r="F615" s="2" t="inlineStr">
        <is>
          <t xml:space="preserve">Hard</t>
        </is>
      </c>
      <c r="G615" s="2" t="inlineStr">
        <is>
          <t xml:space="preserve">Math / Formula</t>
        </is>
      </c>
      <c r="H615" s="2" t="inlineStr">
        <is>
          <t xml:space="preserve">Implementation / Simulation</t>
        </is>
      </c>
      <c r="I615" s="2" t="inlineStr">
        <is>
          <t xml:space="preserve">Dates, Long long, I/O parsing</t>
        </is>
      </c>
      <c r="J615" s="2" t="inlineStr">
        <is>
          <t xml:space="preserve">Convert Unix timestamps to day/week/month boundaries with calendar arithmetic</t>
        </is>
      </c>
      <c r="K615" s="2" t="inlineStr">
        <is>
          <t xml:space="preserve">Basic / Дати и време</t>
        </is>
      </c>
      <c r="L615" s="9" t="str">
        <f>HYPERLINK("https://arena.olimpiici.com/#/catalog/309/problem/100868","open problem")</f>
        <v>open problem</v>
      </c>
    </row>
    <row r="616">
      <c r="A616" s="2" t="inlineStr">
        <is>
          <t xml:space="preserve">necklace</t>
        </is>
      </c>
      <c r="B616" s="2" t="inlineStr">
        <is>
          <t xml:space="preserve">Spring tournament</t>
        </is>
      </c>
      <c r="C616" s="8" t="inlineStr">
        <is>
          <t xml:space="preserve">D</t>
        </is>
      </c>
      <c r="D616" s="8">
        <v>2016</v>
      </c>
      <c r="E616" s="5">
        <v>3</v>
      </c>
      <c r="F616" s="2" t="inlineStr">
        <is>
          <t xml:space="preserve">Medium</t>
        </is>
      </c>
      <c r="G616" s="2" t="inlineStr">
        <is>
          <t xml:space="preserve">Counting / Frequency arrays</t>
        </is>
      </c>
      <c r="H616" s="2" t="inlineStr">
        <is>
          <t xml:space="preserve">Prefix sums</t>
        </is>
      </c>
      <c r="I616" s="2" t="inlineStr">
        <is>
          <t xml:space="preserve">Counting array, Strings, Long long</t>
        </is>
      </c>
      <c r="J616" s="2" t="inlineStr">
        <is>
          <t xml:space="preserve">Sweep left to right, adding the count of the first letter seen so far for each pair</t>
        </is>
      </c>
      <c r="K616" s="2" t="inlineStr">
        <is>
          <t xml:space="preserve">Броене с масив (counting); Динамично програмиране (Dynamic programming)</t>
        </is>
      </c>
      <c r="L616" s="9" t="str">
        <f>HYPERLINK("https://arena.olimpiici.com/#/catalog/309/problem/100869","open problem")</f>
        <v>open problem</v>
      </c>
    </row>
    <row r="617">
      <c r="A617" s="2" t="inlineStr">
        <is>
          <t xml:space="preserve">fivediv</t>
        </is>
      </c>
      <c r="B617" s="2" t="inlineStr">
        <is>
          <t xml:space="preserve">Spring tournament</t>
        </is>
      </c>
      <c r="C617" s="8" t="inlineStr">
        <is>
          <t xml:space="preserve">D</t>
        </is>
      </c>
      <c r="D617" s="8">
        <v>2016</v>
      </c>
      <c r="E617" s="5">
        <v>3</v>
      </c>
      <c r="F617" s="2" t="inlineStr">
        <is>
          <t xml:space="preserve">Medium</t>
        </is>
      </c>
      <c r="G617" s="2" t="inlineStr">
        <is>
          <t xml:space="preserve">Number theory</t>
        </is>
      </c>
      <c r="H617" s="2" t="inlineStr">
        <is>
          <t xml:space="preserve">Math / Formula</t>
        </is>
      </c>
      <c r="I617" s="2" t="inlineStr">
        <is>
          <t xml:space="preserve">Math, Long long, Loops</t>
        </is>
      </c>
      <c r="J617" s="2" t="inlineStr">
        <is>
          <t xml:space="preserve">Exactly five divisors means p^4: sum the fourth powers of primes up to n^(1/4)</t>
        </is>
      </c>
      <c r="K617" s="2" t="inlineStr">
        <is>
          <t xml:space="preserve">Математика / Делимост</t>
        </is>
      </c>
      <c r="L617" s="9" t="str">
        <f>HYPERLINK("https://arena.olimpiici.com/#/catalog/309/problem/100870","open problem")</f>
        <v>open problem</v>
      </c>
    </row>
    <row r="618">
      <c r="A618" s="2" t="inlineStr">
        <is>
          <t xml:space="preserve">zcount</t>
        </is>
      </c>
      <c r="B618" s="2" t="inlineStr">
        <is>
          <t xml:space="preserve">Spring tournament</t>
        </is>
      </c>
      <c r="C618" s="8" t="inlineStr">
        <is>
          <t xml:space="preserve">D</t>
        </is>
      </c>
      <c r="D618" s="8">
        <v>2017</v>
      </c>
      <c r="E618" s="6">
        <v>4</v>
      </c>
      <c r="F618" s="2" t="inlineStr">
        <is>
          <t xml:space="preserve">Hard</t>
        </is>
      </c>
      <c r="G618" s="2" t="inlineStr">
        <is>
          <t xml:space="preserve">Math / Formula</t>
        </is>
      </c>
      <c r="H618" s="2" t="inlineStr">
        <is>
          <t xml:space="preserve">Counting / Frequency arrays</t>
        </is>
      </c>
      <c r="I618" s="2" t="inlineStr">
        <is>
          <t xml:space="preserve">Long long, Math, Loops</t>
        </is>
      </c>
      <c r="J618" s="2" t="inlineStr">
        <is>
          <t xml:space="preserve">Count zeros per digit position with a closed formula up to 10^16</t>
        </is>
      </c>
      <c r="K618" s="2" t="inlineStr">
        <is>
          <t xml:space="preserve"/>
        </is>
      </c>
      <c r="L618" s="9" t="str">
        <f>HYPERLINK("https://arena.olimpiici.com/#/catalog/315/problem/100883","open problem")</f>
        <v>open problem</v>
      </c>
    </row>
    <row r="619">
      <c r="A619" s="2" t="inlineStr">
        <is>
          <t xml:space="preserve">number</t>
        </is>
      </c>
      <c r="B619" s="2" t="inlineStr">
        <is>
          <t xml:space="preserve">Spring tournament</t>
        </is>
      </c>
      <c r="C619" s="8" t="inlineStr">
        <is>
          <t xml:space="preserve">D</t>
        </is>
      </c>
      <c r="D619" s="8">
        <v>2017</v>
      </c>
      <c r="E619" s="5">
        <v>3</v>
      </c>
      <c r="F619" s="2" t="inlineStr">
        <is>
          <t xml:space="preserve">Medium</t>
        </is>
      </c>
      <c r="G619" s="2" t="inlineStr">
        <is>
          <t xml:space="preserve">Ad hoc / Observation</t>
        </is>
      </c>
      <c r="H619" s="2" t="inlineStr">
        <is>
          <t xml:space="preserve">Sorting</t>
        </is>
      </c>
      <c r="I619" s="2" t="inlineStr">
        <is>
          <t xml:space="preserve">Sets, Sorting, Arrays</t>
        </is>
      </c>
      <c r="J619" s="2" t="inlineStr">
        <is>
          <t xml:space="preserve">Only up to three distinct values may appear; x is half their spread</t>
        </is>
      </c>
      <c r="K619" s="2" t="inlineStr">
        <is>
          <t xml:space="preserve"/>
        </is>
      </c>
      <c r="L619" s="9" t="str">
        <f>HYPERLINK("https://arena.olimpiici.com/#/catalog/315/problem/100884","open problem")</f>
        <v>open problem</v>
      </c>
    </row>
    <row r="620">
      <c r="A620" s="2" t="inlineStr">
        <is>
          <t xml:space="preserve">long</t>
        </is>
      </c>
      <c r="B620" s="2" t="inlineStr">
        <is>
          <t xml:space="preserve">Spring tournament</t>
        </is>
      </c>
      <c r="C620" s="8" t="inlineStr">
        <is>
          <t xml:space="preserve">D</t>
        </is>
      </c>
      <c r="D620" s="8">
        <v>2017</v>
      </c>
      <c r="E620" s="5">
        <v>3</v>
      </c>
      <c r="F620" s="2" t="inlineStr">
        <is>
          <t xml:space="preserve">Medium</t>
        </is>
      </c>
      <c r="G620" s="2" t="inlineStr">
        <is>
          <t xml:space="preserve">Counting / Frequency arrays</t>
        </is>
      </c>
      <c r="H620" s="2" t="inlineStr">
        <is>
          <t xml:space="preserve">Dynamic programming</t>
        </is>
      </c>
      <c r="I620" s="2" t="inlineStr">
        <is>
          <t xml:space="preserve">Counting array, Arrays, Loops</t>
        </is>
      </c>
      <c r="J620" s="2" t="inlineStr">
        <is>
          <t xml:space="preserve">Mark which values are present and take the longest run of consecutive ones</t>
        </is>
      </c>
      <c r="K620" s="2" t="inlineStr">
        <is>
          <t xml:space="preserve"/>
        </is>
      </c>
      <c r="L620" s="9" t="str">
        <f>HYPERLINK("https://arena.olimpiici.com/#/catalog/315/problem/100885","open problem")</f>
        <v>open problem</v>
      </c>
    </row>
    <row r="621">
      <c r="A621" s="2" t="inlineStr">
        <is>
          <t xml:space="preserve">distance</t>
        </is>
      </c>
      <c r="B621" s="2" t="inlineStr">
        <is>
          <t xml:space="preserve">Spring tournament</t>
        </is>
      </c>
      <c r="C621" s="8" t="inlineStr">
        <is>
          <t xml:space="preserve">D</t>
        </is>
      </c>
      <c r="D621" s="8">
        <v>2018</v>
      </c>
      <c r="E621" s="4">
        <v>2</v>
      </c>
      <c r="F621" s="2" t="inlineStr">
        <is>
          <t xml:space="preserve">Easy</t>
        </is>
      </c>
      <c r="G621" s="2" t="inlineStr">
        <is>
          <t xml:space="preserve">Two pointers / Sliding window</t>
        </is>
      </c>
      <c r="H621" s="2" t="inlineStr">
        <is>
          <t xml:space="preserve">Ad hoc / Observation</t>
        </is>
      </c>
      <c r="I621" s="2" t="inlineStr">
        <is>
          <t xml:space="preserve">Arrays, Loops, Two pointers</t>
        </is>
      </c>
      <c r="J621" s="2" t="inlineStr">
        <is>
          <t xml:space="preserve">Track the latest index of x and of y while scanning once</t>
        </is>
      </c>
      <c r="K621" s="2" t="inlineStr">
        <is>
          <t xml:space="preserve">Метод на показалките / 2-pointers</t>
        </is>
      </c>
      <c r="L621" s="9" t="str">
        <f>HYPERLINK("https://arena.olimpiici.com/#/catalog/321/problem/100898","open problem")</f>
        <v>open problem</v>
      </c>
    </row>
    <row r="622">
      <c r="A622" s="2" t="inlineStr">
        <is>
          <t xml:space="preserve">groups</t>
        </is>
      </c>
      <c r="B622" s="2" t="inlineStr">
        <is>
          <t xml:space="preserve">Spring tournament</t>
        </is>
      </c>
      <c r="C622" s="8" t="inlineStr">
        <is>
          <t xml:space="preserve">D</t>
        </is>
      </c>
      <c r="D622" s="8">
        <v>2018</v>
      </c>
      <c r="E622" s="5">
        <v>3</v>
      </c>
      <c r="F622" s="2" t="inlineStr">
        <is>
          <t xml:space="preserve">Medium</t>
        </is>
      </c>
      <c r="G622" s="2" t="inlineStr">
        <is>
          <t xml:space="preserve">Math / Formula</t>
        </is>
      </c>
      <c r="H622" s="2" t="inlineStr">
        <is>
          <t xml:space="preserve">Number theory</t>
        </is>
      </c>
      <c r="I622" s="2" t="inlineStr">
        <is>
          <t xml:space="preserve">Math, Long long</t>
        </is>
      </c>
      <c r="J622" s="2" t="inlineStr">
        <is>
          <t xml:space="preserve">Chains like 1,2,4,8,... force floor(log2 N)+1 groups</t>
        </is>
      </c>
      <c r="K622" s="2" t="inlineStr">
        <is>
          <t xml:space="preserve">Ad hoc; Математика / Делимост</t>
        </is>
      </c>
      <c r="L622" s="9" t="str">
        <f>HYPERLINK("https://arena.olimpiici.com/#/catalog/321/problem/100899","open problem")</f>
        <v>open problem</v>
      </c>
    </row>
    <row r="623">
      <c r="A623" s="2" t="inlineStr">
        <is>
          <t xml:space="preserve">delimost</t>
        </is>
      </c>
      <c r="B623" s="2" t="inlineStr">
        <is>
          <t xml:space="preserve">Spring tournament</t>
        </is>
      </c>
      <c r="C623" s="8" t="inlineStr">
        <is>
          <t xml:space="preserve">D</t>
        </is>
      </c>
      <c r="D623" s="8">
        <v>2018</v>
      </c>
      <c r="E623" s="5">
        <v>3</v>
      </c>
      <c r="F623" s="2" t="inlineStr">
        <is>
          <t xml:space="preserve">Medium</t>
        </is>
      </c>
      <c r="G623" s="2" t="inlineStr">
        <is>
          <t xml:space="preserve">Brute force</t>
        </is>
      </c>
      <c r="H623" s="2" t="inlineStr">
        <is>
          <t xml:space="preserve">Number theory</t>
        </is>
      </c>
      <c r="I623" s="2" t="inlineStr">
        <is>
          <t xml:space="preserve">Strings, Long long, Loops</t>
        </is>
      </c>
      <c r="J623" s="2" t="inlineStr">
        <is>
          <t xml:space="preserve">Enumerate 0/1 digit strings up to 20 digits and test the divisibility condition</t>
        </is>
      </c>
      <c r="K623" s="2" t="inlineStr">
        <is>
          <t xml:space="preserve">Математика / Бройни системи; Предварително пресмятане на отговорите</t>
        </is>
      </c>
      <c r="L623" s="9" t="str">
        <f>HYPERLINK("https://arena.olimpiici.com/#/catalog/321/problem/100900","open problem")</f>
        <v>open problem</v>
      </c>
    </row>
    <row r="624">
      <c r="A624" s="2" t="inlineStr">
        <is>
          <t xml:space="preserve">numbers</t>
        </is>
      </c>
      <c r="B624" s="2" t="inlineStr">
        <is>
          <t xml:space="preserve">Spring tournament</t>
        </is>
      </c>
      <c r="C624" s="8" t="inlineStr">
        <is>
          <t xml:space="preserve">D</t>
        </is>
      </c>
      <c r="D624" s="8">
        <v>2019</v>
      </c>
      <c r="E624" s="6">
        <v>4</v>
      </c>
      <c r="F624" s="2" t="inlineStr">
        <is>
          <t xml:space="preserve">Hard</t>
        </is>
      </c>
      <c r="G624" s="2" t="inlineStr">
        <is>
          <t xml:space="preserve">Number theory</t>
        </is>
      </c>
      <c r="H624" s="2" t="inlineStr">
        <is>
          <t xml:space="preserve">Recursion / Backtracking</t>
        </is>
      </c>
      <c r="I624" s="2" t="inlineStr">
        <is>
          <t xml:space="preserve">Long long, Math, Loops</t>
        </is>
      </c>
      <c r="J624" s="2" t="inlineStr">
        <is>
          <t xml:space="preserve">Run the branching backwards (a Euclid-style descent) to find the row, or report 0</t>
        </is>
      </c>
      <c r="K624" s="2" t="inlineStr">
        <is>
          <t xml:space="preserve"/>
        </is>
      </c>
      <c r="L624" s="9" t="str">
        <f>HYPERLINK("https://arena.olimpiici.com/#/catalog/434/problem/101175","open problem")</f>
        <v>open problem</v>
      </c>
    </row>
    <row r="625">
      <c r="A625" s="2" t="inlineStr">
        <is>
          <t xml:space="preserve">maxred</t>
        </is>
      </c>
      <c r="B625" s="2" t="inlineStr">
        <is>
          <t xml:space="preserve">Spring tournament</t>
        </is>
      </c>
      <c r="C625" s="8" t="inlineStr">
        <is>
          <t xml:space="preserve">D</t>
        </is>
      </c>
      <c r="D625" s="8">
        <v>2019</v>
      </c>
      <c r="E625" s="5">
        <v>3</v>
      </c>
      <c r="F625" s="2" t="inlineStr">
        <is>
          <t xml:space="preserve">Medium</t>
        </is>
      </c>
      <c r="G625" s="2" t="inlineStr">
        <is>
          <t xml:space="preserve">Greedy</t>
        </is>
      </c>
      <c r="H625" s="2" t="inlineStr">
        <is>
          <t xml:space="preserve">Data structures</t>
        </is>
      </c>
      <c r="I625" s="2" t="inlineStr">
        <is>
          <t xml:space="preserve">Stacks, Strings, Chars</t>
        </is>
      </c>
      <c r="J625" s="2" t="inlineStr">
        <is>
          <t xml:space="preserve">Monotonic stack removes K digits from each third to leave the largest number</t>
        </is>
      </c>
      <c r="K625" s="2" t="inlineStr">
        <is>
          <t xml:space="preserve">STL / Стек (stack)</t>
        </is>
      </c>
      <c r="L625" s="9" t="str">
        <f>HYPERLINK("https://arena.olimpiici.com/#/catalog/434/problem/101176","open problem")</f>
        <v>open problem</v>
      </c>
    </row>
    <row r="626">
      <c r="A626" s="2" t="inlineStr">
        <is>
          <t xml:space="preserve">without</t>
        </is>
      </c>
      <c r="B626" s="2" t="inlineStr">
        <is>
          <t xml:space="preserve">Spring tournament</t>
        </is>
      </c>
      <c r="C626" s="8" t="inlineStr">
        <is>
          <t xml:space="preserve">D</t>
        </is>
      </c>
      <c r="D626" s="8">
        <v>2019</v>
      </c>
      <c r="E626" s="6">
        <v>4</v>
      </c>
      <c r="F626" s="2" t="inlineStr">
        <is>
          <t xml:space="preserve">Hard</t>
        </is>
      </c>
      <c r="G626" s="2" t="inlineStr">
        <is>
          <t xml:space="preserve">Math / Formula</t>
        </is>
      </c>
      <c r="H626" s="2" t="inlineStr">
        <is>
          <t xml:space="preserve">Number theory</t>
        </is>
      </c>
      <c r="I626" s="2" t="inlineStr">
        <is>
          <t xml:space="preserve">Long long, Math, Loops</t>
        </is>
      </c>
      <c r="J626" s="2" t="inlineStr">
        <is>
          <t xml:space="preserve">Count digits per number length in base p to locate position n</t>
        </is>
      </c>
      <c r="K626" s="2" t="inlineStr">
        <is>
          <t xml:space="preserve">Математика / Бройни системи</t>
        </is>
      </c>
      <c r="L626" s="9" t="str">
        <f>HYPERLINK("https://arena.olimpiici.com/#/catalog/434/problem/101177","open problem")</f>
        <v>open problem</v>
      </c>
    </row>
    <row r="627">
      <c r="A627" s="2" t="inlineStr">
        <is>
          <t xml:space="preserve">nfib</t>
        </is>
      </c>
      <c r="B627" s="2" t="inlineStr">
        <is>
          <t xml:space="preserve">Spring tournament</t>
        </is>
      </c>
      <c r="C627" s="8" t="inlineStr">
        <is>
          <t xml:space="preserve">D</t>
        </is>
      </c>
      <c r="D627" s="8">
        <v>2019</v>
      </c>
      <c r="E627" s="7">
        <v>5</v>
      </c>
      <c r="F627" s="2" t="inlineStr">
        <is>
          <t xml:space="preserve">Very hard</t>
        </is>
      </c>
      <c r="G627" s="2" t="inlineStr">
        <is>
          <t xml:space="preserve">Math / Formula</t>
        </is>
      </c>
      <c r="H627" s="2" t="inlineStr">
        <is>
          <t xml:space="preserve">Dynamic programming</t>
        </is>
      </c>
      <c r="I627" s="2" t="inlineStr">
        <is>
          <t xml:space="preserve">2D arrays, Modular arithmetic, Long long</t>
        </is>
      </c>
      <c r="J627" s="2" t="inlineStr">
        <is>
          <t xml:space="preserve">Matrix exponentiation of the n x n companion matrix modulo m for k up to 10^18</t>
        </is>
      </c>
      <c r="K627" s="2" t="inlineStr">
        <is>
          <t xml:space="preserve"/>
        </is>
      </c>
      <c r="L627" s="9" t="str">
        <f>HYPERLINK("https://arena.olimpiici.com/#/catalog/434/problem/101178","open problem")</f>
        <v>open problem</v>
      </c>
    </row>
    <row r="628">
      <c r="A628" s="2" t="inlineStr">
        <is>
          <t xml:space="preserve">magic</t>
        </is>
      </c>
      <c r="B628" s="2" t="inlineStr">
        <is>
          <t xml:space="preserve">Spring tournament</t>
        </is>
      </c>
      <c r="C628" s="8" t="inlineStr">
        <is>
          <t xml:space="preserve">D</t>
        </is>
      </c>
      <c r="D628" s="8">
        <v>2021</v>
      </c>
      <c r="E628" s="4">
        <v>2</v>
      </c>
      <c r="F628" s="2" t="inlineStr">
        <is>
          <t xml:space="preserve">Easy</t>
        </is>
      </c>
      <c r="G628" s="2" t="inlineStr">
        <is>
          <t xml:space="preserve">Counting / Frequency arrays</t>
        </is>
      </c>
      <c r="H628" s="2" t="inlineStr">
        <is>
          <t xml:space="preserve">Greedy</t>
        </is>
      </c>
      <c r="I628" s="2" t="inlineStr">
        <is>
          <t xml:space="preserve">Strings, Chars, Loops</t>
        </is>
      </c>
      <c r="J628" s="2" t="inlineStr">
        <is>
          <t xml:space="preserve">Each run of length L of the same class needs floor((L-1)/2) inserted letters</t>
        </is>
      </c>
      <c r="K628" s="2" t="inlineStr">
        <is>
          <t xml:space="preserve">Разделяне на последователности</t>
        </is>
      </c>
      <c r="L628" s="9" t="str">
        <f>HYPERLINK("https://arena.olimpiici.com/#/catalog/601/problem/101486","open problem")</f>
        <v>open problem</v>
      </c>
    </row>
    <row r="629">
      <c r="A629" s="2" t="inlineStr">
        <is>
          <t xml:space="preserve">detectors</t>
        </is>
      </c>
      <c r="B629" s="2" t="inlineStr">
        <is>
          <t xml:space="preserve">Spring tournament</t>
        </is>
      </c>
      <c r="C629" s="8" t="inlineStr">
        <is>
          <t xml:space="preserve">D</t>
        </is>
      </c>
      <c r="D629" s="8">
        <v>2021</v>
      </c>
      <c r="E629" s="6">
        <v>4</v>
      </c>
      <c r="F629" s="2" t="inlineStr">
        <is>
          <t xml:space="preserve">Hard</t>
        </is>
      </c>
      <c r="G629" s="2" t="inlineStr">
        <is>
          <t xml:space="preserve">Greedy</t>
        </is>
      </c>
      <c r="H629" s="2" t="inlineStr">
        <is>
          <t xml:space="preserve">Sorting</t>
        </is>
      </c>
      <c r="I629" s="2" t="inlineStr">
        <is>
          <t xml:space="preserve">Sorting, Long long, Arrays</t>
        </is>
      </c>
      <c r="J629" s="2" t="inlineStr">
        <is>
          <t xml:space="preserve">Each call spans a range of detectors: the minimum total follows from the counts' profile</t>
        </is>
      </c>
      <c r="K629" s="2" t="inlineStr">
        <is>
          <t xml:space="preserve"/>
        </is>
      </c>
      <c r="L629" s="9" t="str">
        <f>HYPERLINK("https://arena.olimpiici.com/#/catalog/601/problem/101487","open problem")</f>
        <v>open problem</v>
      </c>
    </row>
    <row r="630">
      <c r="A630" s="2" t="inlineStr">
        <is>
          <t xml:space="preserve">sets</t>
        </is>
      </c>
      <c r="B630" s="2" t="inlineStr">
        <is>
          <t xml:space="preserve">Spring tournament</t>
        </is>
      </c>
      <c r="C630" s="8" t="inlineStr">
        <is>
          <t xml:space="preserve">D</t>
        </is>
      </c>
      <c r="D630" s="8">
        <v>2021</v>
      </c>
      <c r="E630" s="6">
        <v>4</v>
      </c>
      <c r="F630" s="2" t="inlineStr">
        <is>
          <t xml:space="preserve">Hard</t>
        </is>
      </c>
      <c r="G630" s="2" t="inlineStr">
        <is>
          <t xml:space="preserve">Two pointers / Sliding window</t>
        </is>
      </c>
      <c r="H630" s="2" t="inlineStr">
        <is>
          <t xml:space="preserve">Counting / Frequency arrays</t>
        </is>
      </c>
      <c r="I630" s="2" t="inlineStr">
        <is>
          <t xml:space="preserve">Two pointers, Counting array, Vectors</t>
        </is>
      </c>
      <c r="J630" s="2" t="inlineStr">
        <is>
          <t xml:space="preserve">Smallest window of values covering at least one member of every set</t>
        </is>
      </c>
      <c r="K630" s="2" t="inlineStr">
        <is>
          <t xml:space="preserve">Метод на показалките / 2-pointers; Броене с масив (counting)</t>
        </is>
      </c>
      <c r="L630" s="9" t="str">
        <f>HYPERLINK("https://arena.olimpiici.com/#/catalog/601/problem/101488","open problem")</f>
        <v>open problem</v>
      </c>
    </row>
    <row r="631">
      <c r="A631" s="2" t="inlineStr">
        <is>
          <t xml:space="preserve">game18</t>
        </is>
      </c>
      <c r="B631" s="2" t="inlineStr">
        <is>
          <t xml:space="preserve">Spring tournament</t>
        </is>
      </c>
      <c r="C631" s="8" t="inlineStr">
        <is>
          <t xml:space="preserve">D</t>
        </is>
      </c>
      <c r="D631" s="8">
        <v>2022</v>
      </c>
      <c r="E631" s="6">
        <v>4</v>
      </c>
      <c r="F631" s="2" t="inlineStr">
        <is>
          <t xml:space="preserve">Hard</t>
        </is>
      </c>
      <c r="G631" s="2" t="inlineStr">
        <is>
          <t xml:space="preserve">Game theory</t>
        </is>
      </c>
      <c r="H631" s="2" t="inlineStr">
        <is>
          <t xml:space="preserve">Recursion / Backtracking</t>
        </is>
      </c>
      <c r="I631" s="2" t="inlineStr">
        <is>
          <t xml:space="preserve">Bitmask, Recursion, Arrays</t>
        </is>
      </c>
      <c r="J631" s="2" t="inlineStr">
        <is>
          <t xml:space="preserve">18 edges fit a bitmask: minimax search over the remaining matchsticks</t>
        </is>
      </c>
      <c r="K631" s="2" t="inlineStr">
        <is>
          <t xml:space="preserve"/>
        </is>
      </c>
      <c r="L631" s="9" t="str">
        <f>HYPERLINK("https://arena.olimpiici.com/#/catalog/695/problem/101772","open problem")</f>
        <v>open problem</v>
      </c>
    </row>
    <row r="632">
      <c r="A632" s="2" t="inlineStr">
        <is>
          <t xml:space="preserve">searching</t>
        </is>
      </c>
      <c r="B632" s="2" t="inlineStr">
        <is>
          <t xml:space="preserve">Spring tournament</t>
        </is>
      </c>
      <c r="C632" s="8" t="inlineStr">
        <is>
          <t xml:space="preserve">D</t>
        </is>
      </c>
      <c r="D632" s="8">
        <v>2022</v>
      </c>
      <c r="E632" s="6">
        <v>4</v>
      </c>
      <c r="F632" s="2" t="inlineStr">
        <is>
          <t xml:space="preserve">Hard</t>
        </is>
      </c>
      <c r="G632" s="2" t="inlineStr">
        <is>
          <t xml:space="preserve">Sorting</t>
        </is>
      </c>
      <c r="H632" s="2" t="inlineStr">
        <is>
          <t xml:space="preserve">Counting / Frequency arrays</t>
        </is>
      </c>
      <c r="I632" s="2" t="inlineStr">
        <is>
          <t xml:space="preserve">Counting array, Memory optimization, Long long</t>
        </is>
      </c>
      <c r="J632" s="2" t="inlineStr">
        <is>
          <t xml:space="preserve">Generate 10^7 values and select the k-th smallest without storing them all sorted</t>
        </is>
      </c>
      <c r="K632" s="2" t="inlineStr">
        <is>
          <t xml:space="preserve">Сортиране (sorting); Ограничена памет / Limited memory</t>
        </is>
      </c>
      <c r="L632" s="9" t="str">
        <f>HYPERLINK("https://arena.olimpiici.com/#/catalog/695/problem/101773","open problem")</f>
        <v>open problem</v>
      </c>
    </row>
    <row r="633">
      <c r="A633" s="2" t="inlineStr">
        <is>
          <t xml:space="preserve">duets</t>
        </is>
      </c>
      <c r="B633" s="2" t="inlineStr">
        <is>
          <t xml:space="preserve">Spring tournament</t>
        </is>
      </c>
      <c r="C633" s="8" t="inlineStr">
        <is>
          <t xml:space="preserve">D</t>
        </is>
      </c>
      <c r="D633" s="8">
        <v>2022</v>
      </c>
      <c r="E633" s="6">
        <v>4</v>
      </c>
      <c r="F633" s="2" t="inlineStr">
        <is>
          <t xml:space="preserve">Hard</t>
        </is>
      </c>
      <c r="G633" s="2" t="inlineStr">
        <is>
          <t xml:space="preserve">Greedy</t>
        </is>
      </c>
      <c r="H633" s="2" t="inlineStr">
        <is>
          <t xml:space="preserve">Sorting</t>
        </is>
      </c>
      <c r="I633" s="2" t="inlineStr">
        <is>
          <t xml:space="preserve">Sorting, Arrays, Long long</t>
        </is>
      </c>
      <c r="J633" s="2" t="inlineStr">
        <is>
          <t xml:space="preserve">Sort popularity and pair neighbours so the weakest duet has the smallest rating</t>
        </is>
      </c>
      <c r="K633" s="2" t="inlineStr">
        <is>
          <t xml:space="preserve">Сортиране (sorting); Greedy; Ad hoc</t>
        </is>
      </c>
      <c r="L633" s="9" t="str">
        <f>HYPERLINK("https://arena.olimpiici.com/#/catalog/695/problem/101774","open problem")</f>
        <v>open problem</v>
      </c>
    </row>
    <row r="634">
      <c r="A634" s="2" t="inlineStr">
        <is>
          <t xml:space="preserve">alike</t>
        </is>
      </c>
      <c r="B634" s="2" t="inlineStr">
        <is>
          <t xml:space="preserve">Spring tournament</t>
        </is>
      </c>
      <c r="C634" s="8" t="inlineStr">
        <is>
          <t xml:space="preserve">D</t>
        </is>
      </c>
      <c r="D634" s="8">
        <v>2023</v>
      </c>
      <c r="E634" s="5">
        <v>3</v>
      </c>
      <c r="F634" s="2" t="inlineStr">
        <is>
          <t xml:space="preserve">Medium</t>
        </is>
      </c>
      <c r="G634" s="2" t="inlineStr">
        <is>
          <t xml:space="preserve">Counting / Frequency arrays</t>
        </is>
      </c>
      <c r="H634" s="2" t="inlineStr">
        <is>
          <t xml:space="preserve">Math / Formula</t>
        </is>
      </c>
      <c r="I634" s="2" t="inlineStr">
        <is>
          <t xml:space="preserve">Counting array, Long long, Loops</t>
        </is>
      </c>
      <c r="J634" s="2" t="inlineStr">
        <is>
          <t xml:space="preserve">Per digit position, count how many numbers share each digit and add the pair counts</t>
        </is>
      </c>
      <c r="K634" s="2" t="inlineStr">
        <is>
          <t xml:space="preserve">Броене с масив (counting)</t>
        </is>
      </c>
      <c r="L634" s="9" t="str">
        <f>HYPERLINK("https://arena.olimpiici.com/#/catalog/762/problem/101979","open problem")</f>
        <v>open problem</v>
      </c>
    </row>
    <row r="635">
      <c r="A635" s="2" t="inlineStr">
        <is>
          <t xml:space="preserve">rect</t>
        </is>
      </c>
      <c r="B635" s="2" t="inlineStr">
        <is>
          <t xml:space="preserve">Spring tournament</t>
        </is>
      </c>
      <c r="C635" s="8" t="inlineStr">
        <is>
          <t xml:space="preserve">D</t>
        </is>
      </c>
      <c r="D635" s="8">
        <v>2023</v>
      </c>
      <c r="E635" s="6">
        <v>4</v>
      </c>
      <c r="F635" s="2" t="inlineStr">
        <is>
          <t xml:space="preserve">Hard</t>
        </is>
      </c>
      <c r="G635" s="2" t="inlineStr">
        <is>
          <t xml:space="preserve">Greedy</t>
        </is>
      </c>
      <c r="H635" s="2" t="inlineStr">
        <is>
          <t xml:space="preserve">Constructive</t>
        </is>
      </c>
      <c r="I635" s="2" t="inlineStr">
        <is>
          <t xml:space="preserve">Sorting, Arrays, Counting array</t>
        </is>
      </c>
      <c r="J635" s="2" t="inlineStr">
        <is>
          <t xml:space="preserve">Row and column maxima must match: place the fewest (and the most) buildings consistent with both views</t>
        </is>
      </c>
      <c r="K635" s="2" t="inlineStr">
        <is>
          <t xml:space="preserve"/>
        </is>
      </c>
      <c r="L635" s="9" t="str">
        <f>HYPERLINK("https://arena.olimpiici.com/#/catalog/762/problem/101980","open problem")</f>
        <v>open problem</v>
      </c>
    </row>
    <row r="636">
      <c r="A636" s="2" t="inlineStr">
        <is>
          <t xml:space="preserve">pretty</t>
        </is>
      </c>
      <c r="B636" s="2" t="inlineStr">
        <is>
          <t xml:space="preserve">Spring tournament</t>
        </is>
      </c>
      <c r="C636" s="8" t="inlineStr">
        <is>
          <t xml:space="preserve">D</t>
        </is>
      </c>
      <c r="D636" s="8">
        <v>2023</v>
      </c>
      <c r="E636" s="7">
        <v>5</v>
      </c>
      <c r="F636" s="2" t="inlineStr">
        <is>
          <t xml:space="preserve">Very hard</t>
        </is>
      </c>
      <c r="G636" s="2" t="inlineStr">
        <is>
          <t xml:space="preserve">Number theory</t>
        </is>
      </c>
      <c r="H636" s="2" t="inlineStr">
        <is>
          <t xml:space="preserve">Counting / Frequency arrays</t>
        </is>
      </c>
      <c r="I636" s="2" t="inlineStr">
        <is>
          <t xml:space="preserve">Counting array, Arrays, Modular arithmetic</t>
        </is>
      </c>
      <c r="J636" s="2" t="inlineStr">
        <is>
          <t xml:space="preserve">Count triples by their gcd using a sieve and Moebius-style inclusion-exclusion</t>
        </is>
      </c>
      <c r="K636" s="2" t="inlineStr">
        <is>
          <t xml:space="preserve">Броене с масив (counting); Математика / Решето на Ератостен</t>
        </is>
      </c>
      <c r="L636" s="9" t="str">
        <f>HYPERLINK("https://arena.olimpiici.com/#/catalog/762/problem/101981","open problem")</f>
        <v>open problem</v>
      </c>
    </row>
    <row r="637">
      <c r="A637" s="2" t="inlineStr">
        <is>
          <t xml:space="preserve">volley</t>
        </is>
      </c>
      <c r="B637" s="2" t="inlineStr">
        <is>
          <t xml:space="preserve">Spring tournament</t>
        </is>
      </c>
      <c r="C637" s="8" t="inlineStr">
        <is>
          <t xml:space="preserve">D</t>
        </is>
      </c>
      <c r="D637" s="8">
        <v>2024</v>
      </c>
      <c r="E637" s="6">
        <v>4</v>
      </c>
      <c r="F637" s="2" t="inlineStr">
        <is>
          <t xml:space="preserve">Hard</t>
        </is>
      </c>
      <c r="G637" s="2" t="inlineStr">
        <is>
          <t xml:space="preserve">Hashing / Maps</t>
        </is>
      </c>
      <c r="H637" s="2" t="inlineStr">
        <is>
          <t xml:space="preserve">Sorting</t>
        </is>
      </c>
      <c r="I637" s="2" t="inlineStr">
        <is>
          <t xml:space="preserve">Maps, Sorting, Long long</t>
        </is>
      </c>
      <c r="J637" s="2" t="inlineStr">
        <is>
          <t xml:space="preserve">Store all yellow pair sums in a hash, then look up every orange pair sum</t>
        </is>
      </c>
      <c r="K637" s="2" t="inlineStr">
        <is>
          <t xml:space="preserve"/>
        </is>
      </c>
      <c r="L637" s="9" t="str">
        <f>HYPERLINK("https://arena.olimpiici.com/#/catalog/810/problem/102154","open problem")</f>
        <v>open problem</v>
      </c>
    </row>
    <row r="638">
      <c r="A638" s="2" t="inlineStr">
        <is>
          <t xml:space="preserve">lexmin</t>
        </is>
      </c>
      <c r="B638" s="2" t="inlineStr">
        <is>
          <t xml:space="preserve">Spring tournament</t>
        </is>
      </c>
      <c r="C638" s="8" t="inlineStr">
        <is>
          <t xml:space="preserve">D</t>
        </is>
      </c>
      <c r="D638" s="8">
        <v>2024</v>
      </c>
      <c r="E638" s="5">
        <v>3</v>
      </c>
      <c r="F638" s="2" t="inlineStr">
        <is>
          <t xml:space="preserve">Medium</t>
        </is>
      </c>
      <c r="G638" s="2" t="inlineStr">
        <is>
          <t xml:space="preserve">Greedy</t>
        </is>
      </c>
      <c r="H638" s="2" t="inlineStr">
        <is>
          <t xml:space="preserve">Constructive</t>
        </is>
      </c>
      <c r="I638" s="2" t="inlineStr">
        <is>
          <t xml:space="preserve">Strings, Chars, Arrays</t>
        </is>
      </c>
      <c r="J638" s="2" t="inlineStr">
        <is>
          <t xml:space="preserve">Assign 'a','b',... in order and reverse each maximal 'd' run for the smallest string</t>
        </is>
      </c>
      <c r="K638" s="2" t="inlineStr">
        <is>
          <t xml:space="preserve"/>
        </is>
      </c>
      <c r="L638" s="9" t="str">
        <f>HYPERLINK("https://arena.olimpiici.com/#/catalog/810/problem/102155","open problem")</f>
        <v>open problem</v>
      </c>
    </row>
    <row r="639">
      <c r="A639" s="2" t="inlineStr">
        <is>
          <t xml:space="preserve">alarm</t>
        </is>
      </c>
      <c r="B639" s="2" t="inlineStr">
        <is>
          <t xml:space="preserve">Spring tournament</t>
        </is>
      </c>
      <c r="C639" s="8" t="inlineStr">
        <is>
          <t xml:space="preserve">D</t>
        </is>
      </c>
      <c r="D639" s="8">
        <v>2024</v>
      </c>
      <c r="E639" s="5">
        <v>3</v>
      </c>
      <c r="F639" s="2" t="inlineStr">
        <is>
          <t xml:space="preserve">Medium</t>
        </is>
      </c>
      <c r="G639" s="2" t="inlineStr">
        <is>
          <t xml:space="preserve">Brute force</t>
        </is>
      </c>
      <c r="H639" s="2" t="inlineStr">
        <is>
          <t xml:space="preserve">Grid/Matrix</t>
        </is>
      </c>
      <c r="I639" s="2" t="inlineStr">
        <is>
          <t xml:space="preserve">Grid/Matrix, Loops, Math</t>
        </is>
      </c>
      <c r="J639" s="2" t="inlineStr">
        <is>
          <t xml:space="preserve">Try all HH/MM pairs congruent to the target and keep the smallest keypad effort</t>
        </is>
      </c>
      <c r="K639" s="2" t="inlineStr">
        <is>
          <t xml:space="preserve"/>
        </is>
      </c>
      <c r="L639" s="9" t="str">
        <f>HYPERLINK("https://arena.olimpiici.com/#/catalog/810/problem/102156","open problem")</f>
        <v>open problem</v>
      </c>
    </row>
    <row r="640">
      <c r="A640" s="2" t="inlineStr">
        <is>
          <t xml:space="preserve">factor</t>
        </is>
      </c>
      <c r="B640" s="2" t="inlineStr">
        <is>
          <t xml:space="preserve">Spring tournament</t>
        </is>
      </c>
      <c r="C640" s="8" t="inlineStr">
        <is>
          <t xml:space="preserve">D</t>
        </is>
      </c>
      <c r="D640" s="8">
        <v>2025</v>
      </c>
      <c r="E640" s="5">
        <v>3</v>
      </c>
      <c r="F640" s="2" t="inlineStr">
        <is>
          <t xml:space="preserve">Medium</t>
        </is>
      </c>
      <c r="G640" s="2" t="inlineStr">
        <is>
          <t xml:space="preserve">Number theory</t>
        </is>
      </c>
      <c r="H640" s="2" t="inlineStr">
        <is>
          <t xml:space="preserve">Prefix sums</t>
        </is>
      </c>
      <c r="I640" s="2" t="inlineStr">
        <is>
          <t xml:space="preserve">Arrays, Prefix sums, Loops</t>
        </is>
      </c>
      <c r="J640" s="2" t="inlineStr">
        <is>
          <t xml:space="preserve">Sieve Omega(n) (prime factors with multiplicity), prefix-sum it and answer queries</t>
        </is>
      </c>
      <c r="K640" s="2" t="inlineStr">
        <is>
          <t xml:space="preserve"/>
        </is>
      </c>
      <c r="L640" s="9" t="str">
        <f>HYPERLINK("https://arena.olimpiici.com/#/catalog/873/problem/102402","open problem")</f>
        <v>open problem</v>
      </c>
    </row>
    <row r="641">
      <c r="A641" s="2" t="inlineStr">
        <is>
          <t xml:space="preserve">subsets</t>
        </is>
      </c>
      <c r="B641" s="2" t="inlineStr">
        <is>
          <t xml:space="preserve">Spring tournament</t>
        </is>
      </c>
      <c r="C641" s="8" t="inlineStr">
        <is>
          <t xml:space="preserve">D</t>
        </is>
      </c>
      <c r="D641" s="8">
        <v>2025</v>
      </c>
      <c r="E641" s="7">
        <v>5</v>
      </c>
      <c r="F641" s="2" t="inlineStr">
        <is>
          <t xml:space="preserve">Very hard</t>
        </is>
      </c>
      <c r="G641" s="2" t="inlineStr">
        <is>
          <t xml:space="preserve">Combinatorics</t>
        </is>
      </c>
      <c r="H641" s="2" t="inlineStr">
        <is>
          <t xml:space="preserve">Counting / Frequency arrays</t>
        </is>
      </c>
      <c r="I641" s="2" t="inlineStr">
        <is>
          <t xml:space="preserve">Modular arithmetic, Long long, Arrays</t>
        </is>
      </c>
      <c r="J641" s="2" t="inlineStr">
        <is>
          <t xml:space="preserve">Count, per adjacent pair of distinct values, how many subsequences keep them adjacent</t>
        </is>
      </c>
      <c r="K641" s="2" t="inlineStr">
        <is>
          <t xml:space="preserve"/>
        </is>
      </c>
      <c r="L641" s="9" t="str">
        <f>HYPERLINK("https://arena.olimpiici.com/#/catalog/873/problem/102403","open problem")</f>
        <v>open problem</v>
      </c>
    </row>
    <row r="642">
      <c r="A642" s="2" t="inlineStr">
        <is>
          <t xml:space="preserve">tangerine</t>
        </is>
      </c>
      <c r="B642" s="2" t="inlineStr">
        <is>
          <t xml:space="preserve">Spring tournament</t>
        </is>
      </c>
      <c r="C642" s="8" t="inlineStr">
        <is>
          <t xml:space="preserve">D</t>
        </is>
      </c>
      <c r="D642" s="8">
        <v>2025</v>
      </c>
      <c r="E642" s="6">
        <v>4</v>
      </c>
      <c r="F642" s="2" t="inlineStr">
        <is>
          <t xml:space="preserve">Hard</t>
        </is>
      </c>
      <c r="G642" s="2" t="inlineStr">
        <is>
          <t xml:space="preserve">Game theory</t>
        </is>
      </c>
      <c r="H642" s="2" t="inlineStr">
        <is>
          <t xml:space="preserve">Sorting</t>
        </is>
      </c>
      <c r="I642" s="2" t="inlineStr">
        <is>
          <t xml:space="preserve">Sorting, Sets, Arrays</t>
        </is>
      </c>
      <c r="J642" s="2" t="inlineStr">
        <is>
          <t xml:space="preserve">Only the distinct values matter: simulate the two players collapsing them from both ends</t>
        </is>
      </c>
      <c r="K642" s="2" t="inlineStr">
        <is>
          <t xml:space="preserve"/>
        </is>
      </c>
      <c r="L642" s="9" t="str">
        <f>HYPERLINK("https://arena.olimpiici.com/#/catalog/873/problem/102404","open problem")</f>
        <v>open problem</v>
      </c>
    </row>
    <row r="643">
      <c r="A643" s="2" t="inlineStr">
        <is>
          <t xml:space="preserve">battery</t>
        </is>
      </c>
      <c r="B643" s="2" t="inlineStr">
        <is>
          <t xml:space="preserve">Spring tournament</t>
        </is>
      </c>
      <c r="C643" s="8" t="inlineStr">
        <is>
          <t xml:space="preserve">D</t>
        </is>
      </c>
      <c r="D643" s="8">
        <v>2026</v>
      </c>
      <c r="E643" s="6">
        <v>4</v>
      </c>
      <c r="F643" s="2" t="inlineStr">
        <is>
          <t xml:space="preserve">Hard</t>
        </is>
      </c>
      <c r="G643" s="2" t="inlineStr">
        <is>
          <t xml:space="preserve">Prefix sums</t>
        </is>
      </c>
      <c r="H643" s="2" t="inlineStr">
        <is>
          <t xml:space="preserve">Greedy</t>
        </is>
      </c>
      <c r="I643" s="2" t="inlineStr">
        <is>
          <t xml:space="preserve">Sorting, Prefix sums, Long long</t>
        </is>
      </c>
      <c r="J643" s="2" t="inlineStr">
        <is>
          <t xml:space="preserve">After t operations each battery is (a_i+t) mod K: sort and sweep t for the smallest total</t>
        </is>
      </c>
      <c r="K643" s="2" t="inlineStr">
        <is>
          <t xml:space="preserve">Greedy; Префиксни суми (prefix array)</t>
        </is>
      </c>
      <c r="L643" s="9" t="str">
        <f>HYPERLINK("https://arena.olimpiici.com/#/catalog/949/problem/102686","open problem")</f>
        <v>open problem</v>
      </c>
    </row>
    <row r="644">
      <c r="A644" s="2" t="inlineStr">
        <is>
          <t xml:space="preserve">triplet</t>
        </is>
      </c>
      <c r="B644" s="2" t="inlineStr">
        <is>
          <t xml:space="preserve">Spring tournament</t>
        </is>
      </c>
      <c r="C644" s="8" t="inlineStr">
        <is>
          <t xml:space="preserve">D</t>
        </is>
      </c>
      <c r="D644" s="8">
        <v>2026</v>
      </c>
      <c r="E644" s="5">
        <v>3</v>
      </c>
      <c r="F644" s="2" t="inlineStr">
        <is>
          <t xml:space="preserve">Medium</t>
        </is>
      </c>
      <c r="G644" s="2" t="inlineStr">
        <is>
          <t xml:space="preserve">Counting / Frequency arrays</t>
        </is>
      </c>
      <c r="H644" s="2" t="inlineStr">
        <is>
          <t xml:space="preserve">Brute force</t>
        </is>
      </c>
      <c r="I644" s="2" t="inlineStr">
        <is>
          <t xml:space="preserve">Counting array, Nested loops, Arrays</t>
        </is>
      </c>
      <c r="J644" s="2" t="inlineStr">
        <is>
          <t xml:space="preserve">Mark present values, then test pairs a&lt;b and look up sqrt(a^2+b^2)</t>
        </is>
      </c>
      <c r="K644" s="2" t="inlineStr">
        <is>
          <t xml:space="preserve">Броене с масив (counting)</t>
        </is>
      </c>
      <c r="L644" s="9" t="str">
        <f>HYPERLINK("https://arena.olimpiici.com/#/catalog/949/problem/102687","open problem")</f>
        <v>open problem</v>
      </c>
    </row>
    <row r="645">
      <c r="A645" s="2" t="inlineStr">
        <is>
          <t xml:space="preserve">red</t>
        </is>
      </c>
      <c r="B645" s="2" t="inlineStr">
        <is>
          <t xml:space="preserve">Spring tournament</t>
        </is>
      </c>
      <c r="C645" s="8" t="inlineStr">
        <is>
          <t xml:space="preserve">D</t>
        </is>
      </c>
      <c r="D645" s="8">
        <v>2026</v>
      </c>
      <c r="E645" s="6">
        <v>4</v>
      </c>
      <c r="F645" s="2" t="inlineStr">
        <is>
          <t xml:space="preserve">Hard</t>
        </is>
      </c>
      <c r="G645" s="2" t="inlineStr">
        <is>
          <t xml:space="preserve">Combinatorics</t>
        </is>
      </c>
      <c r="H645" s="2" t="inlineStr">
        <is>
          <t xml:space="preserve">Counting / Frequency arrays</t>
        </is>
      </c>
      <c r="I645" s="2" t="inlineStr">
        <is>
          <t xml:space="preserve">Long long, Modular arithmetic, Arrays</t>
        </is>
      </c>
      <c r="J645" s="2" t="inlineStr">
        <is>
          <t xml:space="preserve">Each value contributes over the subarrays where it first appears; sum those counts</t>
        </is>
      </c>
      <c r="K645" s="2" t="inlineStr">
        <is>
          <t xml:space="preserve">Комбинаторика; Сортиране (sorting)</t>
        </is>
      </c>
      <c r="L645" s="9" t="str">
        <f>HYPERLINK("https://arena.olimpiici.com/#/catalog/949/problem/102688","open problem")</f>
        <v>open problem</v>
      </c>
    </row>
    <row r="646">
      <c r="A646" s="2" t="inlineStr">
        <is>
          <t xml:space="preserve">cipher</t>
        </is>
      </c>
      <c r="B646" s="2" t="inlineStr">
        <is>
          <t xml:space="preserve">Summer tournament</t>
        </is>
      </c>
      <c r="C646" s="8" t="inlineStr">
        <is>
          <t xml:space="preserve">C</t>
        </is>
      </c>
      <c r="D646" s="8">
        <v>2018</v>
      </c>
      <c r="E646" s="5">
        <v>3</v>
      </c>
      <c r="F646" s="2" t="inlineStr">
        <is>
          <t xml:space="preserve">Medium</t>
        </is>
      </c>
      <c r="G646" s="2" t="inlineStr">
        <is>
          <t xml:space="preserve">Number theory</t>
        </is>
      </c>
      <c r="H646" s="2" t="inlineStr">
        <is>
          <t xml:space="preserve">Combinatorics</t>
        </is>
      </c>
      <c r="I646" s="2" t="inlineStr">
        <is>
          <t xml:space="preserve">Long long, Modular arithmetic, Math</t>
        </is>
      </c>
      <c r="J646" s="2" t="inlineStr">
        <is>
          <t xml:space="preserve">Each orbit of four cells is chosen independently: 4^(n^2/4) mod m by fast power</t>
        </is>
      </c>
      <c r="K646" s="2" t="inlineStr">
        <is>
          <t xml:space="preserve">Бързо степенуване; Комбинаторика</t>
        </is>
      </c>
      <c r="L646" s="9" t="str">
        <f>HYPERLINK("https://arena.olimpiici.com/#/catalog/85/problem/100188","open problem")</f>
        <v>open problem</v>
      </c>
    </row>
    <row r="647">
      <c r="A647" s="2" t="inlineStr">
        <is>
          <t xml:space="preserve">diffseq</t>
        </is>
      </c>
      <c r="B647" s="2" t="inlineStr">
        <is>
          <t xml:space="preserve">Summer tournament</t>
        </is>
      </c>
      <c r="C647" s="8" t="inlineStr">
        <is>
          <t xml:space="preserve">C</t>
        </is>
      </c>
      <c r="D647" s="8">
        <v>2018</v>
      </c>
      <c r="E647" s="5">
        <v>3</v>
      </c>
      <c r="F647" s="2" t="inlineStr">
        <is>
          <t xml:space="preserve">Medium</t>
        </is>
      </c>
      <c r="G647" s="2" t="inlineStr">
        <is>
          <t xml:space="preserve">Two pointers / Sliding window</t>
        </is>
      </c>
      <c r="H647" s="2" t="inlineStr">
        <is>
          <t xml:space="preserve">Hashing / Maps</t>
        </is>
      </c>
      <c r="I647" s="2" t="inlineStr">
        <is>
          <t xml:space="preserve">Maps, Two pointers, Arrays</t>
        </is>
      </c>
      <c r="J647" s="2" t="inlineStr">
        <is>
          <t xml:space="preserve">Sliding window with a frequency map holding at most K distinct values</t>
        </is>
      </c>
      <c r="K647" s="2" t="inlineStr">
        <is>
          <t xml:space="preserve">STL / Map; Метод на показалките / 2-pointers</t>
        </is>
      </c>
      <c r="L647" s="9" t="str">
        <f>HYPERLINK("https://arena.olimpiici.com/#/catalog/85/problem/100189","open problem")</f>
        <v>open problem</v>
      </c>
    </row>
    <row r="648">
      <c r="A648" s="2" t="inlineStr">
        <is>
          <t xml:space="preserve">turnir</t>
        </is>
      </c>
      <c r="B648" s="2" t="inlineStr">
        <is>
          <t xml:space="preserve">Summer tournament</t>
        </is>
      </c>
      <c r="C648" s="8" t="inlineStr">
        <is>
          <t xml:space="preserve">C</t>
        </is>
      </c>
      <c r="D648" s="8">
        <v>2018</v>
      </c>
      <c r="E648" s="6">
        <v>4</v>
      </c>
      <c r="F648" s="2" t="inlineStr">
        <is>
          <t xml:space="preserve">Hard</t>
        </is>
      </c>
      <c r="G648" s="2" t="inlineStr">
        <is>
          <t xml:space="preserve">Graph traversal (BFS/DFS)</t>
        </is>
      </c>
      <c r="H648" s="2" t="inlineStr">
        <is>
          <t xml:space="preserve">Greedy</t>
        </is>
      </c>
      <c r="I648" s="2" t="inlineStr">
        <is>
          <t xml:space="preserve">Vectors, Arrays, Loops</t>
        </is>
      </c>
      <c r="J648" s="2" t="inlineStr">
        <is>
          <t xml:space="preserve">Every vertex has degree 2, so the graph is cycles: max independent set per cycle</t>
        </is>
      </c>
      <c r="K648" s="2" t="inlineStr">
        <is>
          <t xml:space="preserve">Графи</t>
        </is>
      </c>
      <c r="L648" s="9" t="str">
        <f>HYPERLINK("https://arena.olimpiici.com/#/catalog/85/problem/100190","open problem")</f>
        <v>open problem</v>
      </c>
    </row>
    <row r="649">
      <c r="A649" s="2" t="inlineStr">
        <is>
          <t xml:space="preserve">reduce</t>
        </is>
      </c>
      <c r="B649" s="2" t="inlineStr">
        <is>
          <t xml:space="preserve">Summer tournament</t>
        </is>
      </c>
      <c r="C649" s="8" t="inlineStr">
        <is>
          <t xml:space="preserve">C</t>
        </is>
      </c>
      <c r="D649" s="8">
        <v>2018</v>
      </c>
      <c r="E649" s="6">
        <v>4</v>
      </c>
      <c r="F649" s="2" t="inlineStr">
        <is>
          <t xml:space="preserve">Hard</t>
        </is>
      </c>
      <c r="G649" s="2" t="inlineStr">
        <is>
          <t xml:space="preserve">Greedy</t>
        </is>
      </c>
      <c r="H649" s="2" t="inlineStr">
        <is>
          <t xml:space="preserve">Data structures</t>
        </is>
      </c>
      <c r="I649" s="2" t="inlineStr">
        <is>
          <t xml:space="preserve">Stacks, Priority queue, Long long</t>
        </is>
      </c>
      <c r="J649" s="2" t="inlineStr">
        <is>
          <t xml:space="preserve">Remove the current minimum against its smaller neighbour; sum those costs</t>
        </is>
      </c>
      <c r="K649" s="2" t="inlineStr">
        <is>
          <t xml:space="preserve"/>
        </is>
      </c>
      <c r="L649" s="9" t="str">
        <f>HYPERLINK("https://arena.olimpiici.com/#/catalog/85/problem/100191","open problem")</f>
        <v>open problem</v>
      </c>
    </row>
    <row r="650">
      <c r="A650" s="2" t="inlineStr">
        <is>
          <t xml:space="preserve">rating</t>
        </is>
      </c>
      <c r="B650" s="2" t="inlineStr">
        <is>
          <t xml:space="preserve">Summer tournament</t>
        </is>
      </c>
      <c r="C650" s="8" t="inlineStr">
        <is>
          <t xml:space="preserve">C</t>
        </is>
      </c>
      <c r="D650" s="8">
        <v>2019</v>
      </c>
      <c r="E650" s="5">
        <v>3</v>
      </c>
      <c r="F650" s="2" t="inlineStr">
        <is>
          <t xml:space="preserve">Medium</t>
        </is>
      </c>
      <c r="G650" s="2" t="inlineStr">
        <is>
          <t xml:space="preserve">Ad hoc / Observation</t>
        </is>
      </c>
      <c r="H650" s="2" t="inlineStr">
        <is>
          <t xml:space="preserve">Counting / Frequency arrays</t>
        </is>
      </c>
      <c r="I650" s="2" t="inlineStr">
        <is>
          <t xml:space="preserve">Loops, Memory optimization, I/O parsing</t>
        </is>
      </c>
      <c r="J650" s="2" t="inlineStr">
        <is>
          <t xml:space="preserve">Boyer-Moore majority vote under a 4 MB memory limit</t>
        </is>
      </c>
      <c r="K650" s="2" t="inlineStr">
        <is>
          <t xml:space="preserve">Ограничена памет / Limited memory</t>
        </is>
      </c>
      <c r="L650" s="9" t="str">
        <f>HYPERLINK("https://arena.olimpiici.com/#/catalog/451/problem/101228","open problem")</f>
        <v>open problem</v>
      </c>
    </row>
    <row r="651">
      <c r="A651" s="2" t="inlineStr">
        <is>
          <t xml:space="preserve">rotidiv2</t>
        </is>
      </c>
      <c r="B651" s="2" t="inlineStr">
        <is>
          <t xml:space="preserve">Summer tournament</t>
        </is>
      </c>
      <c r="C651" s="8" t="inlineStr">
        <is>
          <t xml:space="preserve">C</t>
        </is>
      </c>
      <c r="D651" s="8">
        <v>2019</v>
      </c>
      <c r="E651" s="7">
        <v>5</v>
      </c>
      <c r="F651" s="2" t="inlineStr">
        <is>
          <t xml:space="preserve">Very hard</t>
        </is>
      </c>
      <c r="G651" s="2" t="inlineStr">
        <is>
          <t xml:space="preserve">Constructive</t>
        </is>
      </c>
      <c r="H651" s="2" t="inlineStr">
        <is>
          <t xml:space="preserve">Number theory</t>
        </is>
      </c>
      <c r="I651" s="2" t="inlineStr">
        <is>
          <t xml:space="preserve">Strings, Math, Big integers</t>
        </is>
      </c>
      <c r="J651" s="2" t="inlineStr">
        <is>
          <t xml:space="preserve">Build the smallest Z whose two-digit rotation equals Z/N, digit by digit</t>
        </is>
      </c>
      <c r="K651" s="2" t="inlineStr">
        <is>
          <t xml:space="preserve">Конструктивен алгоритъм</t>
        </is>
      </c>
      <c r="L651" s="9" t="str">
        <f>HYPERLINK("https://arena.olimpiici.com/#/catalog/451/problem/101229","open problem")</f>
        <v>open problem</v>
      </c>
    </row>
    <row r="652">
      <c r="A652" s="2" t="inlineStr">
        <is>
          <t xml:space="preserve">squares</t>
        </is>
      </c>
      <c r="B652" s="2" t="inlineStr">
        <is>
          <t xml:space="preserve">Summer tournament</t>
        </is>
      </c>
      <c r="C652" s="8" t="inlineStr">
        <is>
          <t xml:space="preserve">C</t>
        </is>
      </c>
      <c r="D652" s="8">
        <v>2019</v>
      </c>
      <c r="E652" s="6">
        <v>4</v>
      </c>
      <c r="F652" s="2" t="inlineStr">
        <is>
          <t xml:space="preserve">Hard</t>
        </is>
      </c>
      <c r="G652" s="2" t="inlineStr">
        <is>
          <t xml:space="preserve">Number theory</t>
        </is>
      </c>
      <c r="H652" s="2" t="inlineStr">
        <is>
          <t xml:space="preserve">Counting / Frequency arrays</t>
        </is>
      </c>
      <c r="I652" s="2" t="inlineStr">
        <is>
          <t xml:space="preserve">Arrays, Loops, Math</t>
        </is>
      </c>
      <c r="J652" s="2" t="inlineStr">
        <is>
          <t xml:space="preserve">Lattice square areas are a^2+b^2: count distinct such values up to S</t>
        </is>
      </c>
      <c r="K652" s="2" t="inlineStr">
        <is>
          <t xml:space="preserve"/>
        </is>
      </c>
      <c r="L652" s="9" t="str">
        <f>HYPERLINK("https://arena.olimpiici.com/#/catalog/451/problem/101230","open problem")</f>
        <v>open problem</v>
      </c>
    </row>
    <row r="653">
      <c r="A653" s="2" t="inlineStr">
        <is>
          <t xml:space="preserve">strawberries</t>
        </is>
      </c>
      <c r="B653" s="2" t="inlineStr">
        <is>
          <t xml:space="preserve">Summer tournament</t>
        </is>
      </c>
      <c r="C653" s="8" t="inlineStr">
        <is>
          <t xml:space="preserve">C</t>
        </is>
      </c>
      <c r="D653" s="8">
        <v>2019</v>
      </c>
      <c r="E653" s="7">
        <v>5</v>
      </c>
      <c r="F653" s="2" t="inlineStr">
        <is>
          <t xml:space="preserve">Very hard</t>
        </is>
      </c>
      <c r="G653" s="2" t="inlineStr">
        <is>
          <t xml:space="preserve">Dynamic programming</t>
        </is>
      </c>
      <c r="H653" s="2" t="inlineStr">
        <is>
          <t xml:space="preserve">Combinatorics</t>
        </is>
      </c>
      <c r="I653" s="2" t="inlineStr">
        <is>
          <t xml:space="preserve">2D arrays, Modular arithmetic, Long long</t>
        </is>
      </c>
      <c r="J653" s="2" t="inlineStr">
        <is>
          <t xml:space="preserve">DP over rows/columns used; strawberries pair up or stand alone</t>
        </is>
      </c>
      <c r="K653" s="2" t="inlineStr">
        <is>
          <t xml:space="preserve">Динамично програмиране (Dynamic programming)</t>
        </is>
      </c>
      <c r="L653" s="9" t="str">
        <f>HYPERLINK("https://arena.olimpiici.com/#/catalog/451/problem/101231","open problem")</f>
        <v>open problem</v>
      </c>
    </row>
    <row r="654">
      <c r="A654" s="2" t="inlineStr">
        <is>
          <t xml:space="preserve">potions</t>
        </is>
      </c>
      <c r="B654" s="2" t="inlineStr">
        <is>
          <t xml:space="preserve">Summer tournament</t>
        </is>
      </c>
      <c r="C654" s="8" t="inlineStr">
        <is>
          <t xml:space="preserve">C</t>
        </is>
      </c>
      <c r="D654" s="8">
        <v>2021</v>
      </c>
      <c r="E654" s="6">
        <v>4</v>
      </c>
      <c r="F654" s="2" t="inlineStr">
        <is>
          <t xml:space="preserve">Hard</t>
        </is>
      </c>
      <c r="G654" s="2" t="inlineStr">
        <is>
          <t xml:space="preserve">Greedy</t>
        </is>
      </c>
      <c r="H654" s="2" t="inlineStr">
        <is>
          <t xml:space="preserve">Binary search</t>
        </is>
      </c>
      <c r="I654" s="2" t="inlineStr">
        <is>
          <t xml:space="preserve">Sorting, Long long, Arrays</t>
        </is>
      </c>
      <c r="J654" s="2" t="inlineStr">
        <is>
          <t xml:space="preserve">Binary search the number of potions, check feasibility greedily per effect</t>
        </is>
      </c>
      <c r="K654" s="2" t="inlineStr">
        <is>
          <t xml:space="preserve">Greedy; Двоично търсене по отговора (binary search)</t>
        </is>
      </c>
      <c r="L654" s="9" t="str">
        <f>HYPERLINK("https://arena.olimpiici.com/#/catalog/605/problem/101502","open problem")</f>
        <v>open problem</v>
      </c>
    </row>
    <row r="655">
      <c r="A655" s="2" t="inlineStr">
        <is>
          <t xml:space="preserve">renovation</t>
        </is>
      </c>
      <c r="B655" s="2" t="inlineStr">
        <is>
          <t xml:space="preserve">Summer tournament</t>
        </is>
      </c>
      <c r="C655" s="8" t="inlineStr">
        <is>
          <t xml:space="preserve">C</t>
        </is>
      </c>
      <c r="D655" s="8">
        <v>2021</v>
      </c>
      <c r="E655" s="7">
        <v>5</v>
      </c>
      <c r="F655" s="2" t="inlineStr">
        <is>
          <t xml:space="preserve">Very hard</t>
        </is>
      </c>
      <c r="G655" s="2" t="inlineStr">
        <is>
          <t xml:space="preserve">Data structures</t>
        </is>
      </c>
      <c r="H655" s="2" t="inlineStr">
        <is>
          <t xml:space="preserve">Graph traversal (BFS/DFS)</t>
        </is>
      </c>
      <c r="I655" s="2" t="inlineStr">
        <is>
          <t xml:space="preserve">Vectors, Sorting, Arrays</t>
        </is>
      </c>
      <c r="J655" s="2" t="inlineStr">
        <is>
          <t xml:space="preserve">Cyclic-exchange distance between spanning trees: edges in one tree but not the other</t>
        </is>
      </c>
      <c r="K655" s="2" t="inlineStr">
        <is>
          <t xml:space="preserve">Advanced / Union Find / Disjoint Set Union; Графи / Покриващо дърво (Spanning tree)</t>
        </is>
      </c>
      <c r="L655" s="9" t="str">
        <f>HYPERLINK("https://arena.olimpiici.com/#/catalog/605/problem/101503","open problem")</f>
        <v>open problem</v>
      </c>
    </row>
    <row r="656">
      <c r="A656" s="2" t="inlineStr">
        <is>
          <t xml:space="preserve">ksum</t>
        </is>
      </c>
      <c r="B656" s="2" t="inlineStr">
        <is>
          <t xml:space="preserve">Summer tournament</t>
        </is>
      </c>
      <c r="C656" s="8" t="inlineStr">
        <is>
          <t xml:space="preserve">C</t>
        </is>
      </c>
      <c r="D656" s="8">
        <v>2021</v>
      </c>
      <c r="E656" s="6">
        <v>4</v>
      </c>
      <c r="F656" s="2" t="inlineStr">
        <is>
          <t xml:space="preserve">Hard</t>
        </is>
      </c>
      <c r="G656" s="2" t="inlineStr">
        <is>
          <t xml:space="preserve">Binary search</t>
        </is>
      </c>
      <c r="H656" s="2" t="inlineStr">
        <is>
          <t xml:space="preserve">Two pointers / Sliding window</t>
        </is>
      </c>
      <c r="I656" s="2" t="inlineStr">
        <is>
          <t xml:space="preserve">Sorting, Two pointers, Long long</t>
        </is>
      </c>
      <c r="J656" s="2" t="inlineStr">
        <is>
          <t xml:space="preserve">Binary search the value, count pairs with sum below it using two pointers</t>
        </is>
      </c>
      <c r="K656" s="2" t="inlineStr">
        <is>
          <t xml:space="preserve">Двоично търсене по отговора (binary search); Метод на показалките / 2-pointers</t>
        </is>
      </c>
      <c r="L656" s="9" t="str">
        <f>HYPERLINK("https://arena.olimpiici.com/#/catalog/605/problem/101504","open problem")</f>
        <v>open problem</v>
      </c>
    </row>
    <row r="657">
      <c r="A657" s="2" t="inlineStr">
        <is>
          <t xml:space="preserve">ants</t>
        </is>
      </c>
      <c r="B657" s="2" t="inlineStr">
        <is>
          <t xml:space="preserve">Summer tournament</t>
        </is>
      </c>
      <c r="C657" s="8" t="inlineStr">
        <is>
          <t xml:space="preserve">C</t>
        </is>
      </c>
      <c r="D657" s="8">
        <v>2022</v>
      </c>
      <c r="E657" s="7">
        <v>5</v>
      </c>
      <c r="F657" s="2" t="inlineStr">
        <is>
          <t xml:space="preserve">Very hard</t>
        </is>
      </c>
      <c r="G657" s="2" t="inlineStr">
        <is>
          <t xml:space="preserve">Dynamic programming</t>
        </is>
      </c>
      <c r="H657" s="2" t="inlineStr">
        <is>
          <t xml:space="preserve">Greedy</t>
        </is>
      </c>
      <c r="I657" s="2" t="inlineStr">
        <is>
          <t xml:space="preserve">Arrays, Chars, Long long</t>
        </is>
      </c>
      <c r="J657" s="2" t="inlineStr">
        <is>
          <t xml:space="preserve">Ants cannot pass each other: split into a left-exiting prefix and right-exiting suffix</t>
        </is>
      </c>
      <c r="K657" s="2" t="inlineStr">
        <is>
          <t xml:space="preserve">Динамично програмиране (Dynamic programming)</t>
        </is>
      </c>
      <c r="L657" s="9" t="str">
        <f>HYPERLINK("https://arena.olimpiici.com/#/catalog/710/problem/101801","open problem")</f>
        <v>open problem</v>
      </c>
    </row>
    <row r="658">
      <c r="A658" s="2" t="inlineStr">
        <is>
          <t xml:space="preserve">connect</t>
        </is>
      </c>
      <c r="B658" s="2" t="inlineStr">
        <is>
          <t xml:space="preserve">Summer tournament</t>
        </is>
      </c>
      <c r="C658" s="8" t="inlineStr">
        <is>
          <t xml:space="preserve">C</t>
        </is>
      </c>
      <c r="D658" s="8">
        <v>2022</v>
      </c>
      <c r="E658" s="7">
        <v>5</v>
      </c>
      <c r="F658" s="2" t="inlineStr">
        <is>
          <t xml:space="preserve">Very hard</t>
        </is>
      </c>
      <c r="G658" s="2" t="inlineStr">
        <is>
          <t xml:space="preserve">Shortest path</t>
        </is>
      </c>
      <c r="H658" s="2" t="inlineStr">
        <is>
          <t xml:space="preserve">Greedy</t>
        </is>
      </c>
      <c r="I658" s="2" t="inlineStr">
        <is>
          <t xml:space="preserve">Vectors, Priority queue, Sorting</t>
        </is>
      </c>
      <c r="J658" s="2" t="inlineStr">
        <is>
          <t xml:space="preserve">Dijkstra over flights where connections need d_i &lt;= a_j, minimising worst-case waiting</t>
        </is>
      </c>
      <c r="K658" s="2" t="inlineStr">
        <is>
          <t xml:space="preserve">Greedy; Двоично търсене (binary search); Разширяване на граф</t>
        </is>
      </c>
      <c r="L658" s="9" t="str">
        <f>HYPERLINK("https://arena.olimpiici.com/#/catalog/710/problem/101802","open problem")</f>
        <v>open problem</v>
      </c>
    </row>
    <row r="659">
      <c r="A659" s="2" t="inlineStr">
        <is>
          <t xml:space="preserve">xerox</t>
        </is>
      </c>
      <c r="B659" s="2" t="inlineStr">
        <is>
          <t xml:space="preserve">Summer tournament</t>
        </is>
      </c>
      <c r="C659" s="8" t="inlineStr">
        <is>
          <t xml:space="preserve">C</t>
        </is>
      </c>
      <c r="D659" s="8">
        <v>2022</v>
      </c>
      <c r="E659" s="5">
        <v>3</v>
      </c>
      <c r="F659" s="2" t="inlineStr">
        <is>
          <t xml:space="preserve">Medium</t>
        </is>
      </c>
      <c r="G659" s="2" t="inlineStr">
        <is>
          <t xml:space="preserve">Implementation / Simulation</t>
        </is>
      </c>
      <c r="H659" s="2" t="inlineStr">
        <is>
          <t xml:space="preserve">Greedy</t>
        </is>
      </c>
      <c r="I659" s="2" t="inlineStr">
        <is>
          <t xml:space="preserve">Queues, Long long, Arrays</t>
        </is>
      </c>
      <c r="J659" s="2" t="inlineStr">
        <is>
          <t xml:space="preserve">Queue simulation of the post office, accumulating minutes spent by all clones</t>
        </is>
      </c>
      <c r="K659" s="2" t="inlineStr">
        <is>
          <t xml:space="preserve">STL / Опашка (queue)</t>
        </is>
      </c>
      <c r="L659" s="9" t="str">
        <f>HYPERLINK("https://arena.olimpiici.com/#/catalog/710/problem/101803","open problem")</f>
        <v>open problem</v>
      </c>
    </row>
    <row r="660">
      <c r="A660" s="2" t="inlineStr">
        <is>
          <t xml:space="preserve">break</t>
        </is>
      </c>
      <c r="B660" s="2" t="inlineStr">
        <is>
          <t xml:space="preserve">Summer tournament</t>
        </is>
      </c>
      <c r="C660" s="8" t="inlineStr">
        <is>
          <t xml:space="preserve">C</t>
        </is>
      </c>
      <c r="D660" s="8">
        <v>2023</v>
      </c>
      <c r="E660" s="7">
        <v>5</v>
      </c>
      <c r="F660" s="2" t="inlineStr">
        <is>
          <t xml:space="preserve">Very hard</t>
        </is>
      </c>
      <c r="G660" s="2" t="inlineStr">
        <is>
          <t xml:space="preserve">Dynamic programming</t>
        </is>
      </c>
      <c r="H660" s="2" t="inlineStr">
        <is>
          <t xml:space="preserve">String processing</t>
        </is>
      </c>
      <c r="I660" s="2" t="inlineStr">
        <is>
          <t xml:space="preserve">Strings, Vectors, Long long</t>
        </is>
      </c>
      <c r="J660" s="2" t="inlineStr">
        <is>
          <t xml:space="preserve">Group consecutive strings maximising sum of LCP*size; DP driven by a trie/LCP array</t>
        </is>
      </c>
      <c r="K660" s="2" t="inlineStr">
        <is>
          <t xml:space="preserve">Динамично програмиране (Dynamic programming); Basic / Низове (string)</t>
        </is>
      </c>
      <c r="L660" s="9" t="str">
        <f>HYPERLINK("https://arena.olimpiici.com/#/catalog/770/problem/102000","open problem")</f>
        <v>open problem</v>
      </c>
    </row>
    <row r="661">
      <c r="A661" s="2" t="inlineStr">
        <is>
          <t xml:space="preserve">destinations</t>
        </is>
      </c>
      <c r="B661" s="2" t="inlineStr">
        <is>
          <t xml:space="preserve">Summer tournament</t>
        </is>
      </c>
      <c r="C661" s="8" t="inlineStr">
        <is>
          <t xml:space="preserve">C</t>
        </is>
      </c>
      <c r="D661" s="8">
        <v>2023</v>
      </c>
      <c r="E661" s="7">
        <v>5</v>
      </c>
      <c r="F661" s="2" t="inlineStr">
        <is>
          <t xml:space="preserve">Very hard</t>
        </is>
      </c>
      <c r="G661" s="2" t="inlineStr">
        <is>
          <t xml:space="preserve">Graph traversal (BFS/DFS)</t>
        </is>
      </c>
      <c r="H661" s="2" t="inlineStr">
        <is>
          <t xml:space="preserve">Constructive</t>
        </is>
      </c>
      <c r="I661" s="2" t="inlineStr">
        <is>
          <t xml:space="preserve">2D arrays, Vectors, Arrays</t>
        </is>
      </c>
      <c r="J661" s="2" t="inlineStr">
        <is>
          <t xml:space="preserve">Build a preference graph and rotate tickets along a cycle that improves someone</t>
        </is>
      </c>
      <c r="K661" s="2" t="inlineStr">
        <is>
          <t xml:space="preserve">Графи / Флойд ( Floyd Warshall )</t>
        </is>
      </c>
      <c r="L661" s="9" t="str">
        <f>HYPERLINK("https://arena.olimpiici.com/#/catalog/770/problem/102001","open problem")</f>
        <v>open problem</v>
      </c>
    </row>
    <row r="662">
      <c r="A662" s="2" t="inlineStr">
        <is>
          <t xml:space="preserve">sumi</t>
        </is>
      </c>
      <c r="B662" s="2" t="inlineStr">
        <is>
          <t xml:space="preserve">Summer tournament</t>
        </is>
      </c>
      <c r="C662" s="8" t="inlineStr">
        <is>
          <t xml:space="preserve">C</t>
        </is>
      </c>
      <c r="D662" s="8">
        <v>2023</v>
      </c>
      <c r="E662" s="6">
        <v>4</v>
      </c>
      <c r="F662" s="2" t="inlineStr">
        <is>
          <t xml:space="preserve">Hard</t>
        </is>
      </c>
      <c r="G662" s="2" t="inlineStr">
        <is>
          <t xml:space="preserve">Dynamic programming</t>
        </is>
      </c>
      <c r="H662" s="2" t="inlineStr">
        <is>
          <t xml:space="preserve">Number theory</t>
        </is>
      </c>
      <c r="I662" s="2" t="inlineStr">
        <is>
          <t xml:space="preserve">Arrays, Prefix sums, Math</t>
        </is>
      </c>
      <c r="J662" s="2" t="inlineStr">
        <is>
          <t xml:space="preserve">Digit DP on (position, digit sum, remainder) answered as prefix counts per query</t>
        </is>
      </c>
      <c r="K662" s="2" t="inlineStr">
        <is>
          <t xml:space="preserve">Двоично търсене (binary search); Рекурсия (recursion)</t>
        </is>
      </c>
      <c r="L662" s="9" t="str">
        <f>HYPERLINK("https://arena.olimpiici.com/#/catalog/770/problem/102002","open problem")</f>
        <v>open problem</v>
      </c>
    </row>
    <row r="663">
      <c r="A663" s="2" t="inlineStr">
        <is>
          <t xml:space="preserve">divide</t>
        </is>
      </c>
      <c r="B663" s="2" t="inlineStr">
        <is>
          <t xml:space="preserve">Summer tournament</t>
        </is>
      </c>
      <c r="C663" s="8" t="inlineStr">
        <is>
          <t xml:space="preserve">C</t>
        </is>
      </c>
      <c r="D663" s="8">
        <v>2024</v>
      </c>
      <c r="E663" s="7">
        <v>5</v>
      </c>
      <c r="F663" s="2" t="inlineStr">
        <is>
          <t xml:space="preserve">Very hard</t>
        </is>
      </c>
      <c r="G663" s="2" t="inlineStr">
        <is>
          <t xml:space="preserve">Number theory</t>
        </is>
      </c>
      <c r="H663" s="2" t="inlineStr">
        <is>
          <t xml:space="preserve">Prefix sums</t>
        </is>
      </c>
      <c r="I663" s="2" t="inlineStr">
        <is>
          <t xml:space="preserve">Arrays, Counting array, Long long</t>
        </is>
      </c>
      <c r="J663" s="2" t="inlineStr">
        <is>
          <t xml:space="preserve">Per prime, cost is the sum of positive jumps in the exponent array; updates are local</t>
        </is>
      </c>
      <c r="K663" s="2" t="inlineStr">
        <is>
          <t xml:space="preserve">Математика / Решето на Ератостен; Математика / НОД - Алгоритъм на Евклид</t>
        </is>
      </c>
      <c r="L663" s="9" t="str">
        <f>HYPERLINK("https://arena.olimpiici.com/#/catalog/816/problem/102177","open problem")</f>
        <v>open problem</v>
      </c>
    </row>
    <row r="664">
      <c r="A664" s="2" t="inlineStr">
        <is>
          <t xml:space="preserve">pirate</t>
        </is>
      </c>
      <c r="B664" s="2" t="inlineStr">
        <is>
          <t xml:space="preserve">Summer tournament</t>
        </is>
      </c>
      <c r="C664" s="8" t="inlineStr">
        <is>
          <t xml:space="preserve">C</t>
        </is>
      </c>
      <c r="D664" s="8">
        <v>2024</v>
      </c>
      <c r="E664" s="7">
        <v>5</v>
      </c>
      <c r="F664" s="2" t="inlineStr">
        <is>
          <t xml:space="preserve">Very hard</t>
        </is>
      </c>
      <c r="G664" s="2" t="inlineStr">
        <is>
          <t xml:space="preserve">Grid/Matrix</t>
        </is>
      </c>
      <c r="H664" s="2" t="inlineStr">
        <is>
          <t xml:space="preserve">Ad hoc / Observation</t>
        </is>
      </c>
      <c r="I664" s="2" t="inlineStr">
        <is>
          <t xml:space="preserve">2D arrays, Grid/Matrix, Vectors</t>
        </is>
      </c>
      <c r="J664" s="2" t="inlineStr">
        <is>
          <t xml:space="preserve">Solvable iff consecutive values stay adjacent-reachable; then count fixing swaps</t>
        </is>
      </c>
      <c r="K664" s="2" t="inlineStr">
        <is>
          <t xml:space="preserve"/>
        </is>
      </c>
      <c r="L664" s="9" t="str">
        <f>HYPERLINK("https://arena.olimpiici.com/#/catalog/816/problem/102178","open problem")</f>
        <v>open problem</v>
      </c>
    </row>
    <row r="665">
      <c r="A665" s="2" t="inlineStr">
        <is>
          <t xml:space="preserve">squares</t>
        </is>
      </c>
      <c r="B665" s="2" t="inlineStr">
        <is>
          <t xml:space="preserve">Summer tournament</t>
        </is>
      </c>
      <c r="C665" s="8" t="inlineStr">
        <is>
          <t xml:space="preserve">C</t>
        </is>
      </c>
      <c r="D665" s="8">
        <v>2024</v>
      </c>
      <c r="E665" s="6">
        <v>4</v>
      </c>
      <c r="F665" s="2" t="inlineStr">
        <is>
          <t xml:space="preserve">Hard</t>
        </is>
      </c>
      <c r="G665" s="2" t="inlineStr">
        <is>
          <t xml:space="preserve">Number theory</t>
        </is>
      </c>
      <c r="H665" s="2" t="inlineStr">
        <is>
          <t xml:space="preserve">Counting / Frequency arrays</t>
        </is>
      </c>
      <c r="I665" s="2" t="inlineStr">
        <is>
          <t xml:space="preserve">Arrays, Loops, Math</t>
        </is>
      </c>
      <c r="J665" s="2" t="inlineStr">
        <is>
          <t xml:space="preserve">Count values &lt;= S expressible as a^2+b^2 (areas of lattice squares)</t>
        </is>
      </c>
      <c r="K665" s="2" t="inlineStr">
        <is>
          <t xml:space="preserve"/>
        </is>
      </c>
      <c r="L665" s="9" t="str">
        <f>HYPERLINK("https://arena.olimpiici.com/#/catalog/816/problem/102179","open problem")</f>
        <v>open problem</v>
      </c>
    </row>
    <row r="666">
      <c r="A666" s="2" t="inlineStr">
        <is>
          <t xml:space="preserve">deliverly</t>
        </is>
      </c>
      <c r="B666" s="2" t="inlineStr">
        <is>
          <t xml:space="preserve">Summer tournament</t>
        </is>
      </c>
      <c r="C666" s="8" t="inlineStr">
        <is>
          <t xml:space="preserve">C</t>
        </is>
      </c>
      <c r="D666" s="8">
        <v>2025</v>
      </c>
      <c r="E666" s="5">
        <v>3</v>
      </c>
      <c r="F666" s="2" t="inlineStr">
        <is>
          <t xml:space="preserve">Medium</t>
        </is>
      </c>
      <c r="G666" s="2" t="inlineStr">
        <is>
          <t xml:space="preserve">Data structures</t>
        </is>
      </c>
      <c r="H666" s="2" t="inlineStr">
        <is>
          <t xml:space="preserve">Prefix sums</t>
        </is>
      </c>
      <c r="I666" s="2" t="inlineStr">
        <is>
          <t xml:space="preserve">2D arrays, Arrays, Long long</t>
        </is>
      </c>
      <c r="J666" s="2" t="inlineStr">
        <is>
          <t xml:space="preserve">Range maximum query over 10^6 houses: sparse table answers each delivery</t>
        </is>
      </c>
      <c r="K666" s="2" t="inlineStr">
        <is>
          <t xml:space="preserve">Advanced / RMQ; Advanced / Sparse Table</t>
        </is>
      </c>
      <c r="L666" s="9" t="str">
        <f>HYPERLINK("https://arena.olimpiici.com/#/catalog/884/problem/102440","open problem")</f>
        <v>open problem</v>
      </c>
    </row>
    <row r="667">
      <c r="A667" s="2" t="inlineStr">
        <is>
          <t xml:space="preserve">photo</t>
        </is>
      </c>
      <c r="B667" s="2" t="inlineStr">
        <is>
          <t xml:space="preserve">Summer tournament</t>
        </is>
      </c>
      <c r="C667" s="8" t="inlineStr">
        <is>
          <t xml:space="preserve">C</t>
        </is>
      </c>
      <c r="D667" s="8">
        <v>2025</v>
      </c>
      <c r="E667" s="6">
        <v>4</v>
      </c>
      <c r="F667" s="2" t="inlineStr">
        <is>
          <t xml:space="preserve">Hard</t>
        </is>
      </c>
      <c r="G667" s="2" t="inlineStr">
        <is>
          <t xml:space="preserve">Graph traversal (BFS/DFS)</t>
        </is>
      </c>
      <c r="H667" s="2" t="inlineStr">
        <is>
          <t xml:space="preserve">Two pointers / Sliding window</t>
        </is>
      </c>
      <c r="I667" s="2" t="inlineStr">
        <is>
          <t xml:space="preserve">Vectors, Arrays, Two pointers</t>
        </is>
      </c>
      <c r="J667" s="2" t="inlineStr">
        <is>
          <t xml:space="preserve">Alternating heights impose &lt; constraints; a segment works iff no contradiction cycle</t>
        </is>
      </c>
      <c r="K667" s="2" t="inlineStr">
        <is>
          <t xml:space="preserve">Графи; Графи / Търсене в дълбочина (DFS); Метод на показалките / 2-pointers</t>
        </is>
      </c>
      <c r="L667" s="9" t="str">
        <f>HYPERLINK("https://arena.olimpiici.com/#/catalog/884/problem/102441","open problem")</f>
        <v>open problem</v>
      </c>
    </row>
    <row r="668">
      <c r="A668" s="2" t="inlineStr">
        <is>
          <t xml:space="preserve">stations</t>
        </is>
      </c>
      <c r="B668" s="2" t="inlineStr">
        <is>
          <t xml:space="preserve">Summer tournament</t>
        </is>
      </c>
      <c r="C668" s="8" t="inlineStr">
        <is>
          <t xml:space="preserve">C</t>
        </is>
      </c>
      <c r="D668" s="8">
        <v>2025</v>
      </c>
      <c r="E668" s="7">
        <v>5</v>
      </c>
      <c r="F668" s="2" t="inlineStr">
        <is>
          <t xml:space="preserve">Very hard</t>
        </is>
      </c>
      <c r="G668" s="2" t="inlineStr">
        <is>
          <t xml:space="preserve">Data structures</t>
        </is>
      </c>
      <c r="H668" s="2" t="inlineStr">
        <is>
          <t xml:space="preserve">Greedy</t>
        </is>
      </c>
      <c r="I668" s="2" t="inlineStr">
        <is>
          <t xml:space="preserve">Arrays, Binary search, Long long</t>
        </is>
      </c>
      <c r="J668" s="2" t="inlineStr">
        <is>
          <t xml:space="preserve">Minimum starting fuel with capped stations; segment tree with lazy updates</t>
        </is>
      </c>
      <c r="K668" s="2" t="inlineStr">
        <is>
          <t xml:space="preserve">Advanced / Сегментно дърво; Lazy Propagation</t>
        </is>
      </c>
      <c r="L668" s="9" t="str">
        <f>HYPERLINK("https://arena.olimpiici.com/#/catalog/884/problem/102442","open problem")</f>
        <v>open problem</v>
      </c>
    </row>
    <row r="669">
      <c r="A669" s="2" t="inlineStr">
        <is>
          <t xml:space="preserve">stock</t>
        </is>
      </c>
      <c r="B669" s="2" t="inlineStr">
        <is>
          <t xml:space="preserve">Summer tournament</t>
        </is>
      </c>
      <c r="C669" s="8" t="inlineStr">
        <is>
          <t xml:space="preserve">C</t>
        </is>
      </c>
      <c r="D669" s="8">
        <v>2026</v>
      </c>
      <c r="E669" s="7">
        <v>5</v>
      </c>
      <c r="F669" s="2" t="inlineStr">
        <is>
          <t xml:space="preserve">Very hard</t>
        </is>
      </c>
      <c r="G669" s="2" t="inlineStr">
        <is>
          <t xml:space="preserve">Data structures</t>
        </is>
      </c>
      <c r="H669" s="2" t="inlineStr">
        <is>
          <t xml:space="preserve">Prefix sums</t>
        </is>
      </c>
      <c r="I669" s="2" t="inlineStr">
        <is>
          <t xml:space="preserve">Stacks, Prefix sums, Long long</t>
        </is>
      </c>
      <c r="J669" s="2" t="inlineStr">
        <is>
          <t xml:space="preserve">Sum of sliding-window minima per query: monotonic stack plus precomputed prefixes</t>
        </is>
      </c>
      <c r="K669" s="2" t="inlineStr">
        <is>
          <t xml:space="preserve"/>
        </is>
      </c>
      <c r="L669" s="9" t="str">
        <f>HYPERLINK("https://arena.olimpiici.com/#/catalog/962/problem/102726","open problem")</f>
        <v>open problem</v>
      </c>
    </row>
    <row r="670">
      <c r="A670" s="2" t="inlineStr">
        <is>
          <t xml:space="preserve">dispatch</t>
        </is>
      </c>
      <c r="B670" s="2" t="inlineStr">
        <is>
          <t xml:space="preserve">Summer tournament</t>
        </is>
      </c>
      <c r="C670" s="8" t="inlineStr">
        <is>
          <t xml:space="preserve">C</t>
        </is>
      </c>
      <c r="D670" s="8">
        <v>2026</v>
      </c>
      <c r="E670" s="7">
        <v>5</v>
      </c>
      <c r="F670" s="2" t="inlineStr">
        <is>
          <t xml:space="preserve">Very hard</t>
        </is>
      </c>
      <c r="G670" s="2" t="inlineStr">
        <is>
          <t xml:space="preserve">Trees</t>
        </is>
      </c>
      <c r="H670" s="2" t="inlineStr">
        <is>
          <t xml:space="preserve">Graph traversal (BFS/DFS)</t>
        </is>
      </c>
      <c r="I670" s="2" t="inlineStr">
        <is>
          <t xml:space="preserve">Vectors, Recursion, Arrays</t>
        </is>
      </c>
      <c r="J670" s="2" t="inlineStr">
        <is>
          <t xml:space="preserve">Pick the hub covering the most request paths reachable in one non-repeating walk</t>
        </is>
      </c>
      <c r="K670" s="2" t="inlineStr">
        <is>
          <t xml:space="preserve"/>
        </is>
      </c>
      <c r="L670" s="9" t="str">
        <f>HYPERLINK("https://arena.olimpiici.com/#/catalog/962/problem/102727","open problem")</f>
        <v>open problem</v>
      </c>
    </row>
    <row r="671">
      <c r="A671" s="2" t="inlineStr">
        <is>
          <t xml:space="preserve">statement</t>
        </is>
      </c>
      <c r="B671" s="2" t="inlineStr">
        <is>
          <t xml:space="preserve">Summer tournament</t>
        </is>
      </c>
      <c r="C671" s="8" t="inlineStr">
        <is>
          <t xml:space="preserve">C</t>
        </is>
      </c>
      <c r="D671" s="8">
        <v>2026</v>
      </c>
      <c r="E671" s="7">
        <v>5</v>
      </c>
      <c r="F671" s="2" t="inlineStr">
        <is>
          <t xml:space="preserve">Very hard</t>
        </is>
      </c>
      <c r="G671" s="2" t="inlineStr">
        <is>
          <t xml:space="preserve">Graph traversal (BFS/DFS)</t>
        </is>
      </c>
      <c r="H671" s="2" t="inlineStr">
        <is>
          <t xml:space="preserve">Constructive</t>
        </is>
      </c>
      <c r="I671" s="2" t="inlineStr">
        <is>
          <t xml:space="preserve">Vectors, Bitmask, Arrays</t>
        </is>
      </c>
      <c r="J671" s="2" t="inlineStr">
        <is>
          <t xml:space="preserve">Each criterion appears at most twice: satisfy one demand per member via graph matching</t>
        </is>
      </c>
      <c r="K671" s="2" t="inlineStr">
        <is>
          <t xml:space="preserve"/>
        </is>
      </c>
      <c r="L671" s="9" t="str">
        <f>HYPERLINK("https://arena.olimpiici.com/#/catalog/962/problem/102728","open problem")</f>
        <v>open problem</v>
      </c>
    </row>
    <row r="672">
      <c r="A672" s="2" t="inlineStr">
        <is>
          <t xml:space="preserve">binary</t>
        </is>
      </c>
      <c r="B672" s="2" t="inlineStr">
        <is>
          <t xml:space="preserve">Summer tournament</t>
        </is>
      </c>
      <c r="C672" s="8" t="inlineStr">
        <is>
          <t xml:space="preserve">D</t>
        </is>
      </c>
      <c r="D672" s="8">
        <v>2018</v>
      </c>
      <c r="E672" s="4">
        <v>2</v>
      </c>
      <c r="F672" s="2" t="inlineStr">
        <is>
          <t xml:space="preserve">Easy</t>
        </is>
      </c>
      <c r="G672" s="2" t="inlineStr">
        <is>
          <t xml:space="preserve">Two pointers / Sliding window</t>
        </is>
      </c>
      <c r="H672" s="2" t="inlineStr">
        <is>
          <t xml:space="preserve">Counting / Frequency arrays</t>
        </is>
      </c>
      <c r="I672" s="2" t="inlineStr">
        <is>
          <t xml:space="preserve">Strings, Prefix sums, Long long</t>
        </is>
      </c>
      <c r="J672" s="2" t="inlineStr">
        <is>
          <t xml:space="preserve">Count substrings with exactly k zeros using positions of the zeros</t>
        </is>
      </c>
      <c r="K672" s="2" t="inlineStr">
        <is>
          <t xml:space="preserve"/>
        </is>
      </c>
      <c r="L672" s="9" t="str">
        <f>HYPERLINK("https://arena.olimpiici.com/#/catalog/86/problem/100192","open problem")</f>
        <v>open problem</v>
      </c>
    </row>
    <row r="673">
      <c r="A673" s="2" t="inlineStr">
        <is>
          <t xml:space="preserve">amusing</t>
        </is>
      </c>
      <c r="B673" s="2" t="inlineStr">
        <is>
          <t xml:space="preserve">Summer tournament</t>
        </is>
      </c>
      <c r="C673" s="8" t="inlineStr">
        <is>
          <t xml:space="preserve">D</t>
        </is>
      </c>
      <c r="D673" s="8">
        <v>2018</v>
      </c>
      <c r="E673" s="6">
        <v>4</v>
      </c>
      <c r="F673" s="2" t="inlineStr">
        <is>
          <t xml:space="preserve">Hard</t>
        </is>
      </c>
      <c r="G673" s="2" t="inlineStr">
        <is>
          <t xml:space="preserve">Number theory</t>
        </is>
      </c>
      <c r="H673" s="2" t="inlineStr">
        <is>
          <t xml:space="preserve">Math / Formula</t>
        </is>
      </c>
      <c r="I673" s="2" t="inlineStr">
        <is>
          <t xml:space="preserve">Arrays, Long long, Math</t>
        </is>
      </c>
      <c r="J673" s="2" t="inlineStr">
        <is>
          <t xml:space="preserve">Divisor count is prime only for p^(q-1): sieve primes up to 10^7 and count</t>
        </is>
      </c>
      <c r="K673" s="2" t="inlineStr">
        <is>
          <t xml:space="preserve">Математика / Решето на Ератостен</t>
        </is>
      </c>
      <c r="L673" s="9" t="str">
        <f>HYPERLINK("https://arena.olimpiici.com/#/catalog/86/problem/100193","open problem")</f>
        <v>open problem</v>
      </c>
    </row>
    <row r="674">
      <c r="A674" s="2" t="inlineStr">
        <is>
          <t xml:space="preserve">triplet</t>
        </is>
      </c>
      <c r="B674" s="2" t="inlineStr">
        <is>
          <t xml:space="preserve">Summer tournament</t>
        </is>
      </c>
      <c r="C674" s="8" t="inlineStr">
        <is>
          <t xml:space="preserve">D</t>
        </is>
      </c>
      <c r="D674" s="8">
        <v>2018</v>
      </c>
      <c r="E674" s="5">
        <v>3</v>
      </c>
      <c r="F674" s="2" t="inlineStr">
        <is>
          <t xml:space="preserve">Medium</t>
        </is>
      </c>
      <c r="G674" s="2" t="inlineStr">
        <is>
          <t xml:space="preserve">Counting / Frequency arrays</t>
        </is>
      </c>
      <c r="H674" s="2" t="inlineStr">
        <is>
          <t xml:space="preserve">Prefix sums</t>
        </is>
      </c>
      <c r="I674" s="2" t="inlineStr">
        <is>
          <t xml:space="preserve">Strings, Counting array, Long long</t>
        </is>
      </c>
      <c r="J674" s="2" t="inlineStr">
        <is>
          <t xml:space="preserve">For each middle letter, multiply smaller letters before by larger letters after</t>
        </is>
      </c>
      <c r="K674" s="2" t="inlineStr">
        <is>
          <t xml:space="preserve">Броене с масив (counting)</t>
        </is>
      </c>
      <c r="L674" s="9" t="str">
        <f>HYPERLINK("https://arena.olimpiici.com/#/catalog/86/problem/100194","open problem")</f>
        <v>open problem</v>
      </c>
    </row>
    <row r="675">
      <c r="A675" s="2" t="inlineStr">
        <is>
          <t xml:space="preserve">grump</t>
        </is>
      </c>
      <c r="B675" s="2" t="inlineStr">
        <is>
          <t xml:space="preserve">Summer tournament</t>
        </is>
      </c>
      <c r="C675" s="8" t="inlineStr">
        <is>
          <t xml:space="preserve">D</t>
        </is>
      </c>
      <c r="D675" s="8">
        <v>2018</v>
      </c>
      <c r="E675" s="5">
        <v>3</v>
      </c>
      <c r="F675" s="2" t="inlineStr">
        <is>
          <t xml:space="preserve">Medium</t>
        </is>
      </c>
      <c r="G675" s="2" t="inlineStr">
        <is>
          <t xml:space="preserve">Implementation / Simulation</t>
        </is>
      </c>
      <c r="H675" s="2" t="inlineStr">
        <is>
          <t xml:space="preserve">Grid/Matrix</t>
        </is>
      </c>
      <c r="I675" s="2" t="inlineStr">
        <is>
          <t xml:space="preserve">Arrays, Loops, I/O parsing</t>
        </is>
      </c>
      <c r="J675" s="2" t="inlineStr">
        <is>
          <t xml:space="preserve">Snakes-and-ladders simulation with lucky/unlucky squares and skipped turns</t>
        </is>
      </c>
      <c r="K675" s="2" t="inlineStr">
        <is>
          <t xml:space="preserve"/>
        </is>
      </c>
      <c r="L675" s="9" t="str">
        <f>HYPERLINK("https://arena.olimpiici.com/#/catalog/86/problem/100195","open problem")</f>
        <v>open problem</v>
      </c>
    </row>
    <row r="676">
      <c r="A676" s="2" t="inlineStr">
        <is>
          <t xml:space="preserve">mutexes</t>
        </is>
      </c>
      <c r="B676" s="2" t="inlineStr">
        <is>
          <t xml:space="preserve">Summer tournament</t>
        </is>
      </c>
      <c r="C676" s="8" t="inlineStr">
        <is>
          <t xml:space="preserve">D</t>
        </is>
      </c>
      <c r="D676" s="8">
        <v>2019</v>
      </c>
      <c r="E676" s="5">
        <v>3</v>
      </c>
      <c r="F676" s="2" t="inlineStr">
        <is>
          <t xml:space="preserve">Medium</t>
        </is>
      </c>
      <c r="G676" s="2" t="inlineStr">
        <is>
          <t xml:space="preserve">Implementation / Simulation</t>
        </is>
      </c>
      <c r="H676" s="2" t="inlineStr">
        <is>
          <t xml:space="preserve">Data structures</t>
        </is>
      </c>
      <c r="I676" s="2" t="inlineStr">
        <is>
          <t xml:space="preserve">Arrays, Strings, Structs</t>
        </is>
      </c>
      <c r="J676" s="2" t="inlineStr">
        <is>
          <t xml:space="preserve">Round-robin thread scheduling with mutex ownership until deadlock</t>
        </is>
      </c>
      <c r="K676" s="2" t="inlineStr">
        <is>
          <t xml:space="preserve"/>
        </is>
      </c>
      <c r="L676" s="9" t="str">
        <f>HYPERLINK("https://arena.olimpiici.com/#/catalog/452/problem/101224","open problem")</f>
        <v>open problem</v>
      </c>
    </row>
    <row r="677">
      <c r="A677" s="2" t="inlineStr">
        <is>
          <t xml:space="preserve">maxd</t>
        </is>
      </c>
      <c r="B677" s="2" t="inlineStr">
        <is>
          <t xml:space="preserve">Summer tournament</t>
        </is>
      </c>
      <c r="C677" s="8" t="inlineStr">
        <is>
          <t xml:space="preserve">D</t>
        </is>
      </c>
      <c r="D677" s="8">
        <v>2019</v>
      </c>
      <c r="E677" s="4">
        <v>2</v>
      </c>
      <c r="F677" s="2" t="inlineStr">
        <is>
          <t xml:space="preserve">Easy</t>
        </is>
      </c>
      <c r="G677" s="2" t="inlineStr">
        <is>
          <t xml:space="preserve">Two pointers / Sliding window</t>
        </is>
      </c>
      <c r="H677" s="2" t="inlineStr">
        <is>
          <t xml:space="preserve">Counting / Frequency arrays</t>
        </is>
      </c>
      <c r="I677" s="2" t="inlineStr">
        <is>
          <t xml:space="preserve">Two pointers, Counting array, Arrays</t>
        </is>
      </c>
      <c r="J677" s="2" t="inlineStr">
        <is>
          <t xml:space="preserve">Longest window with no repeated value, tracked by a frequency array</t>
        </is>
      </c>
      <c r="K677" s="2" t="inlineStr">
        <is>
          <t xml:space="preserve">Метод на показалките / 2-pointers</t>
        </is>
      </c>
      <c r="L677" s="9" t="str">
        <f>HYPERLINK("https://arena.olimpiici.com/#/catalog/452/problem/101225","open problem")</f>
        <v>open problem</v>
      </c>
    </row>
    <row r="678">
      <c r="A678" s="2" t="inlineStr">
        <is>
          <t xml:space="preserve">frame</t>
        </is>
      </c>
      <c r="B678" s="2" t="inlineStr">
        <is>
          <t xml:space="preserve">Summer tournament</t>
        </is>
      </c>
      <c r="C678" s="8" t="inlineStr">
        <is>
          <t xml:space="preserve">D</t>
        </is>
      </c>
      <c r="D678" s="8">
        <v>2019</v>
      </c>
      <c r="E678" s="5">
        <v>3</v>
      </c>
      <c r="F678" s="2" t="inlineStr">
        <is>
          <t xml:space="preserve">Medium</t>
        </is>
      </c>
      <c r="G678" s="2" t="inlineStr">
        <is>
          <t xml:space="preserve">Greedy</t>
        </is>
      </c>
      <c r="H678" s="2" t="inlineStr">
        <is>
          <t xml:space="preserve">Sorting</t>
        </is>
      </c>
      <c r="I678" s="2" t="inlineStr">
        <is>
          <t xml:space="preserve">Sorting, Two pointers, Arrays</t>
        </is>
      </c>
      <c r="J678" s="2" t="inlineStr">
        <is>
          <t xml:space="preserve">Sort lengths, form pairs, then join pairs whose ratio stays within two</t>
        </is>
      </c>
      <c r="K678" s="2" t="inlineStr">
        <is>
          <t xml:space="preserve"/>
        </is>
      </c>
      <c r="L678" s="9" t="str">
        <f>HYPERLINK("https://arena.olimpiici.com/#/catalog/452/problem/101226","open problem")</f>
        <v>open problem</v>
      </c>
    </row>
    <row r="679">
      <c r="A679" s="2" t="inlineStr">
        <is>
          <t xml:space="preserve">colorp</t>
        </is>
      </c>
      <c r="B679" s="2" t="inlineStr">
        <is>
          <t xml:space="preserve">Summer tournament</t>
        </is>
      </c>
      <c r="C679" s="8" t="inlineStr">
        <is>
          <t xml:space="preserve">D</t>
        </is>
      </c>
      <c r="D679" s="8">
        <v>2019</v>
      </c>
      <c r="E679" s="6">
        <v>4</v>
      </c>
      <c r="F679" s="2" t="inlineStr">
        <is>
          <t xml:space="preserve">Hard</t>
        </is>
      </c>
      <c r="G679" s="2" t="inlineStr">
        <is>
          <t xml:space="preserve">Data structures</t>
        </is>
      </c>
      <c r="H679" s="2" t="inlineStr">
        <is>
          <t xml:space="preserve">Implementation / Simulation</t>
        </is>
      </c>
      <c r="I679" s="2" t="inlineStr">
        <is>
          <t xml:space="preserve">Stacks, Arrays, Long long</t>
        </is>
      </c>
      <c r="J679" s="2" t="inlineStr">
        <is>
          <t xml:space="preserve">Nesting of 1/0 matches brackets: stack depth gives each rectangle's height and paint</t>
        </is>
      </c>
      <c r="K679" s="2" t="inlineStr">
        <is>
          <t xml:space="preserve"/>
        </is>
      </c>
      <c r="L679" s="9" t="str">
        <f>HYPERLINK("https://arena.olimpiici.com/#/catalog/452/problem/101227","open problem")</f>
        <v>open problem</v>
      </c>
    </row>
    <row r="680">
      <c r="A680" s="2" t="inlineStr">
        <is>
          <t xml:space="preserve">pyramid</t>
        </is>
      </c>
      <c r="B680" s="2" t="inlineStr">
        <is>
          <t xml:space="preserve">Summer tournament</t>
        </is>
      </c>
      <c r="C680" s="8" t="inlineStr">
        <is>
          <t xml:space="preserve">D</t>
        </is>
      </c>
      <c r="D680" s="8">
        <v>2021</v>
      </c>
      <c r="E680" s="5">
        <v>3</v>
      </c>
      <c r="F680" s="2" t="inlineStr">
        <is>
          <t xml:space="preserve">Medium</t>
        </is>
      </c>
      <c r="G680" s="2" t="inlineStr">
        <is>
          <t xml:space="preserve">Implementation / Simulation</t>
        </is>
      </c>
      <c r="H680" s="2" t="inlineStr">
        <is>
          <t xml:space="preserve">Grid/Matrix</t>
        </is>
      </c>
      <c r="I680" s="2" t="inlineStr">
        <is>
          <t xml:space="preserve">2D arrays, Loops, Math</t>
        </is>
      </c>
      <c r="J680" s="2" t="inlineStr">
        <is>
          <t xml:space="preserve">Fill the pyramid in spiral order, then print it level by level</t>
        </is>
      </c>
      <c r="K680" s="2" t="inlineStr">
        <is>
          <t xml:space="preserve"/>
        </is>
      </c>
      <c r="L680" s="9" t="str">
        <f>HYPERLINK("https://arena.olimpiici.com/#/catalog/691/problem/101760","open problem")</f>
        <v>open problem</v>
      </c>
    </row>
    <row r="681">
      <c r="A681" s="2" t="inlineStr">
        <is>
          <t xml:space="preserve">emergency</t>
        </is>
      </c>
      <c r="B681" s="2" t="inlineStr">
        <is>
          <t xml:space="preserve">Summer tournament</t>
        </is>
      </c>
      <c r="C681" s="8" t="inlineStr">
        <is>
          <t xml:space="preserve">D</t>
        </is>
      </c>
      <c r="D681" s="8">
        <v>2021</v>
      </c>
      <c r="E681" s="6">
        <v>4</v>
      </c>
      <c r="F681" s="2" t="inlineStr">
        <is>
          <t xml:space="preserve">Hard</t>
        </is>
      </c>
      <c r="G681" s="2" t="inlineStr">
        <is>
          <t xml:space="preserve">Graph traversal (BFS/DFS)</t>
        </is>
      </c>
      <c r="H681" s="2" t="inlineStr">
        <is>
          <t xml:space="preserve">Dynamic programming</t>
        </is>
      </c>
      <c r="I681" s="2" t="inlineStr">
        <is>
          <t xml:space="preserve">Queues, 2D arrays, Grid/Matrix</t>
        </is>
      </c>
      <c r="J681" s="2" t="inlineStr">
        <is>
          <t xml:space="preserve">BFS for shortest time, then DP along shortest paths to maximise picked-up patients</t>
        </is>
      </c>
      <c r="K681" s="2" t="inlineStr">
        <is>
          <t xml:space="preserve"/>
        </is>
      </c>
      <c r="L681" s="9" t="str">
        <f>HYPERLINK("https://arena.olimpiici.com/#/catalog/691/problem/101761","open problem")</f>
        <v>open problem</v>
      </c>
    </row>
    <row r="682">
      <c r="A682" s="2" t="inlineStr">
        <is>
          <t xml:space="preserve">maxsum</t>
        </is>
      </c>
      <c r="B682" s="2" t="inlineStr">
        <is>
          <t xml:space="preserve">Summer tournament</t>
        </is>
      </c>
      <c r="C682" s="8" t="inlineStr">
        <is>
          <t xml:space="preserve">D</t>
        </is>
      </c>
      <c r="D682" s="8">
        <v>2021</v>
      </c>
      <c r="E682" s="5">
        <v>3</v>
      </c>
      <c r="F682" s="2" t="inlineStr">
        <is>
          <t xml:space="preserve">Medium</t>
        </is>
      </c>
      <c r="G682" s="2" t="inlineStr">
        <is>
          <t xml:space="preserve">Sorting</t>
        </is>
      </c>
      <c r="H682" s="2" t="inlineStr">
        <is>
          <t xml:space="preserve">Data structures</t>
        </is>
      </c>
      <c r="I682" s="2" t="inlineStr">
        <is>
          <t xml:space="preserve">Sorting, Priority queue, Arrays</t>
        </is>
      </c>
      <c r="J682" s="2" t="inlineStr">
        <is>
          <t xml:space="preserve">k-th largest pairwise sum with k&lt;n: a heap over the sorted arrays suffices</t>
        </is>
      </c>
      <c r="K682" s="2" t="inlineStr">
        <is>
          <t xml:space="preserve"/>
        </is>
      </c>
      <c r="L682" s="9" t="str">
        <f>HYPERLINK("https://arena.olimpiici.com/#/catalog/691/problem/101762","open problem")</f>
        <v>open problem</v>
      </c>
    </row>
    <row r="683">
      <c r="A683" s="2" t="inlineStr">
        <is>
          <t xml:space="preserve">ants</t>
        </is>
      </c>
      <c r="B683" s="2" t="inlineStr">
        <is>
          <t xml:space="preserve">Summer tournament</t>
        </is>
      </c>
      <c r="C683" s="8" t="inlineStr">
        <is>
          <t xml:space="preserve">D</t>
        </is>
      </c>
      <c r="D683" s="8">
        <v>2022</v>
      </c>
      <c r="E683" s="7">
        <v>5</v>
      </c>
      <c r="F683" s="2" t="inlineStr">
        <is>
          <t xml:space="preserve">Very hard</t>
        </is>
      </c>
      <c r="G683" s="2" t="inlineStr">
        <is>
          <t xml:space="preserve">Dynamic programming</t>
        </is>
      </c>
      <c r="H683" s="2" t="inlineStr">
        <is>
          <t xml:space="preserve">Greedy</t>
        </is>
      </c>
      <c r="I683" s="2" t="inlineStr">
        <is>
          <t xml:space="preserve">Arrays, Chars, Long long</t>
        </is>
      </c>
      <c r="J683" s="2" t="inlineStr">
        <is>
          <t xml:space="preserve">Ants cannot pass each other: split into a left-exiting prefix and right-exiting suffix</t>
        </is>
      </c>
      <c r="K683" s="2" t="inlineStr">
        <is>
          <t xml:space="preserve"/>
        </is>
      </c>
      <c r="L683" s="9" t="str">
        <f>HYPERLINK("https://arena.olimpiici.com/#/catalog/711/problem/101804","open problem")</f>
        <v>open problem</v>
      </c>
    </row>
    <row r="684">
      <c r="A684" s="2" t="inlineStr">
        <is>
          <t xml:space="preserve">boxing</t>
        </is>
      </c>
      <c r="B684" s="2" t="inlineStr">
        <is>
          <t xml:space="preserve">Summer tournament</t>
        </is>
      </c>
      <c r="C684" s="8" t="inlineStr">
        <is>
          <t xml:space="preserve">D</t>
        </is>
      </c>
      <c r="D684" s="8">
        <v>2022</v>
      </c>
      <c r="E684" s="6">
        <v>4</v>
      </c>
      <c r="F684" s="2" t="inlineStr">
        <is>
          <t xml:space="preserve">Hard</t>
        </is>
      </c>
      <c r="G684" s="2" t="inlineStr">
        <is>
          <t xml:space="preserve">Two pointers / Sliding window</t>
        </is>
      </c>
      <c r="H684" s="2" t="inlineStr">
        <is>
          <t xml:space="preserve">Prefix sums</t>
        </is>
      </c>
      <c r="I684" s="2" t="inlineStr">
        <is>
          <t xml:space="preserve">Prefix sums, Two pointers, Long long</t>
        </is>
      </c>
      <c r="J684" s="2" t="inlineStr">
        <is>
          <t xml:space="preserve">Total action is (S^2 - sum of squares)/2, monotone in the window, so slide it</t>
        </is>
      </c>
      <c r="K684" s="2" t="inlineStr">
        <is>
          <t xml:space="preserve">Метод на показалките / 2-pointers</t>
        </is>
      </c>
      <c r="L684" s="9" t="str">
        <f>HYPERLINK("https://arena.olimpiici.com/#/catalog/711/problem/101805","open problem")</f>
        <v>open problem</v>
      </c>
    </row>
    <row r="685">
      <c r="A685" s="2" t="inlineStr">
        <is>
          <t xml:space="preserve">points</t>
        </is>
      </c>
      <c r="B685" s="2" t="inlineStr">
        <is>
          <t xml:space="preserve">Summer tournament</t>
        </is>
      </c>
      <c r="C685" s="8" t="inlineStr">
        <is>
          <t xml:space="preserve">D</t>
        </is>
      </c>
      <c r="D685" s="8">
        <v>2022</v>
      </c>
      <c r="E685" s="5">
        <v>3</v>
      </c>
      <c r="F685" s="2" t="inlineStr">
        <is>
          <t xml:space="preserve">Medium</t>
        </is>
      </c>
      <c r="G685" s="2" t="inlineStr">
        <is>
          <t xml:space="preserve">Prefix sums</t>
        </is>
      </c>
      <c r="H685" s="2" t="inlineStr">
        <is>
          <t xml:space="preserve">Binary search</t>
        </is>
      </c>
      <c r="I685" s="2" t="inlineStr">
        <is>
          <t xml:space="preserve">Prefix sums, Arrays, Binary search</t>
        </is>
      </c>
      <c r="J685" s="2" t="inlineStr">
        <is>
          <t xml:space="preserve">Boxes form a histogram; a bullet hits if y is below the height at column x</t>
        </is>
      </c>
      <c r="K685" s="2" t="inlineStr">
        <is>
          <t xml:space="preserve"/>
        </is>
      </c>
      <c r="L685" s="9" t="str">
        <f>HYPERLINK("https://arena.olimpiici.com/#/catalog/711/problem/101806","open problem")</f>
        <v>open problem</v>
      </c>
    </row>
    <row r="686">
      <c r="A686" s="2" t="inlineStr">
        <is>
          <t xml:space="preserve">AnotherGame</t>
        </is>
      </c>
      <c r="B686" s="2" t="inlineStr">
        <is>
          <t xml:space="preserve">Summer tournament</t>
        </is>
      </c>
      <c r="C686" s="8" t="inlineStr">
        <is>
          <t xml:space="preserve">D</t>
        </is>
      </c>
      <c r="D686" s="8">
        <v>2023</v>
      </c>
      <c r="E686" s="7">
        <v>5</v>
      </c>
      <c r="F686" s="2" t="inlineStr">
        <is>
          <t xml:space="preserve">Very hard</t>
        </is>
      </c>
      <c r="G686" s="2" t="inlineStr">
        <is>
          <t xml:space="preserve">Brute force</t>
        </is>
      </c>
      <c r="H686" s="2" t="inlineStr">
        <is>
          <t xml:space="preserve">Binary search</t>
        </is>
      </c>
      <c r="I686" s="2" t="inlineStr">
        <is>
          <t xml:space="preserve">Sorting, Long long, Vectors</t>
        </is>
      </c>
      <c r="J686" s="2" t="inlineStr">
        <is>
          <t xml:space="preserve">Meet in the middle over 50 prefix products, then binary search each query X</t>
        </is>
      </c>
      <c r="K686" s="2" t="inlineStr">
        <is>
          <t xml:space="preserve"/>
        </is>
      </c>
      <c r="L686" s="9" t="str">
        <f>HYPERLINK("https://arena.olimpiici.com/#/catalog/771/problem/102003","open problem")</f>
        <v>open problem</v>
      </c>
    </row>
    <row r="687">
      <c r="A687" s="2" t="inlineStr">
        <is>
          <t xml:space="preserve">beautiful</t>
        </is>
      </c>
      <c r="B687" s="2" t="inlineStr">
        <is>
          <t xml:space="preserve">Summer tournament</t>
        </is>
      </c>
      <c r="C687" s="8" t="inlineStr">
        <is>
          <t xml:space="preserve">D</t>
        </is>
      </c>
      <c r="D687" s="8">
        <v>2023</v>
      </c>
      <c r="E687" s="6">
        <v>4</v>
      </c>
      <c r="F687" s="2" t="inlineStr">
        <is>
          <t xml:space="preserve">Hard</t>
        </is>
      </c>
      <c r="G687" s="2" t="inlineStr">
        <is>
          <t xml:space="preserve">Dynamic programming</t>
        </is>
      </c>
      <c r="H687" s="2" t="inlineStr">
        <is>
          <t xml:space="preserve">Number theory</t>
        </is>
      </c>
      <c r="I687" s="2" t="inlineStr">
        <is>
          <t xml:space="preserve">Arrays, Long long, Math</t>
        </is>
      </c>
      <c r="J687" s="2" t="inlineStr">
        <is>
          <t xml:space="preserve">Digit DP over sum of squared digits, checking the total is a perfect square</t>
        </is>
      </c>
      <c r="K687" s="2" t="inlineStr">
        <is>
          <t xml:space="preserve"/>
        </is>
      </c>
      <c r="L687" s="9" t="str">
        <f>HYPERLINK("https://arena.olimpiici.com/#/catalog/771/problem/102004","open problem")</f>
        <v>open problem</v>
      </c>
    </row>
    <row r="688">
      <c r="A688" s="2" t="inlineStr">
        <is>
          <t xml:space="preserve">flowers</t>
        </is>
      </c>
      <c r="B688" s="2" t="inlineStr">
        <is>
          <t xml:space="preserve">Summer tournament</t>
        </is>
      </c>
      <c r="C688" s="8" t="inlineStr">
        <is>
          <t xml:space="preserve">D</t>
        </is>
      </c>
      <c r="D688" s="8">
        <v>2023</v>
      </c>
      <c r="E688" s="6">
        <v>4</v>
      </c>
      <c r="F688" s="2" t="inlineStr">
        <is>
          <t xml:space="preserve">Hard</t>
        </is>
      </c>
      <c r="G688" s="2" t="inlineStr">
        <is>
          <t xml:space="preserve">Greedy</t>
        </is>
      </c>
      <c r="H688" s="2" t="inlineStr">
        <is>
          <t xml:space="preserve">Counting / Frequency arrays</t>
        </is>
      </c>
      <c r="I688" s="2" t="inlineStr">
        <is>
          <t xml:space="preserve">Hashing, Counting array, Memory optimization</t>
        </is>
      </c>
      <c r="J688" s="2" t="inlineStr">
        <is>
          <t xml:space="preserve">Answer depends only on the most frequent flower; input read twice under a memory cap</t>
        </is>
      </c>
      <c r="K688" s="2" t="inlineStr">
        <is>
          <t xml:space="preserve">Ограничена памет / Limited memory</t>
        </is>
      </c>
      <c r="L688" s="9" t="str">
        <f>HYPERLINK("https://arena.olimpiici.com/#/catalog/771/problem/102005","open problem")</f>
        <v>open problem</v>
      </c>
    </row>
    <row r="689">
      <c r="A689" s="2" t="inlineStr">
        <is>
          <t xml:space="preserve">community</t>
        </is>
      </c>
      <c r="B689" s="2" t="inlineStr">
        <is>
          <t xml:space="preserve">Summer tournament</t>
        </is>
      </c>
      <c r="C689" s="8" t="inlineStr">
        <is>
          <t xml:space="preserve">D</t>
        </is>
      </c>
      <c r="D689" s="8">
        <v>2024</v>
      </c>
      <c r="E689" s="5">
        <v>3</v>
      </c>
      <c r="F689" s="2" t="inlineStr">
        <is>
          <t xml:space="preserve">Medium</t>
        </is>
      </c>
      <c r="G689" s="2" t="inlineStr">
        <is>
          <t xml:space="preserve">Graph traversal (BFS/DFS)</t>
        </is>
      </c>
      <c r="H689" s="2" t="inlineStr">
        <is>
          <t xml:space="preserve">Ad hoc / Observation</t>
        </is>
      </c>
      <c r="I689" s="2" t="inlineStr">
        <is>
          <t xml:space="preserve">Vectors, Queues, Arrays</t>
        </is>
      </c>
      <c r="J689" s="2" t="inlineStr">
        <is>
          <t xml:space="preserve">Stable iff every connected component is a clique: compare edges with size*(size-1)/2</t>
        </is>
      </c>
      <c r="K689" s="2" t="inlineStr">
        <is>
          <t xml:space="preserve">Графи; Графи / Търсене в дълбочина (DFS); Графи / Търсене в ширина (BFS)</t>
        </is>
      </c>
      <c r="L689" s="9" t="str">
        <f>HYPERLINK("https://arena.olimpiici.com/#/catalog/817/problem/102180","open problem")</f>
        <v>open problem</v>
      </c>
    </row>
    <row r="690">
      <c r="A690" s="2" t="inlineStr">
        <is>
          <t xml:space="preserve">divide</t>
        </is>
      </c>
      <c r="B690" s="2" t="inlineStr">
        <is>
          <t xml:space="preserve">Summer tournament</t>
        </is>
      </c>
      <c r="C690" s="8" t="inlineStr">
        <is>
          <t xml:space="preserve">D</t>
        </is>
      </c>
      <c r="D690" s="8">
        <v>2024</v>
      </c>
      <c r="E690" s="6">
        <v>4</v>
      </c>
      <c r="F690" s="2" t="inlineStr">
        <is>
          <t xml:space="preserve">Hard</t>
        </is>
      </c>
      <c r="G690" s="2" t="inlineStr">
        <is>
          <t xml:space="preserve">Number theory</t>
        </is>
      </c>
      <c r="H690" s="2" t="inlineStr">
        <is>
          <t xml:space="preserve">Prefix sums</t>
        </is>
      </c>
      <c r="I690" s="2" t="inlineStr">
        <is>
          <t xml:space="preserve">Arrays, Counting array, Long long</t>
        </is>
      </c>
      <c r="J690" s="2" t="inlineStr">
        <is>
          <t xml:space="preserve">For each prime, sum the positive increases of its exponent along the sequence</t>
        </is>
      </c>
      <c r="K690" s="2" t="inlineStr">
        <is>
          <t xml:space="preserve">Математика / НОД - Алгоритъм на Евклид</t>
        </is>
      </c>
      <c r="L690" s="9" t="str">
        <f>HYPERLINK("https://arena.olimpiici.com/#/catalog/817/problem/102181","open problem")</f>
        <v>open problem</v>
      </c>
    </row>
    <row r="691">
      <c r="A691" s="2" t="inlineStr">
        <is>
          <t xml:space="preserve">sqrt</t>
        </is>
      </c>
      <c r="B691" s="2" t="inlineStr">
        <is>
          <t xml:space="preserve">Summer tournament</t>
        </is>
      </c>
      <c r="C691" s="8" t="inlineStr">
        <is>
          <t xml:space="preserve">D</t>
        </is>
      </c>
      <c r="D691" s="8">
        <v>2024</v>
      </c>
      <c r="E691" s="5">
        <v>3</v>
      </c>
      <c r="F691" s="2" t="inlineStr">
        <is>
          <t xml:space="preserve">Medium</t>
        </is>
      </c>
      <c r="G691" s="2" t="inlineStr">
        <is>
          <t xml:space="preserve">Binary search</t>
        </is>
      </c>
      <c r="H691" s="2" t="inlineStr">
        <is>
          <t xml:space="preserve">Big numbers</t>
        </is>
      </c>
      <c r="I691" s="2" t="inlineStr">
        <is>
          <t xml:space="preserve">Big integers, Strings, Math</t>
        </is>
      </c>
      <c r="J691" s="2" t="inlineStr">
        <is>
          <t xml:space="preserve">Integer square root of a 120-bit value by binary search with big multiplication</t>
        </is>
      </c>
      <c r="K691" s="2" t="inlineStr">
        <is>
          <t xml:space="preserve"/>
        </is>
      </c>
      <c r="L691" s="9" t="str">
        <f>HYPERLINK("https://arena.olimpiici.com/#/catalog/817/problem/102182","open problem")</f>
        <v>open problem</v>
      </c>
    </row>
    <row r="692">
      <c r="A692" s="2" t="inlineStr">
        <is>
          <t xml:space="preserve">equal</t>
        </is>
      </c>
      <c r="B692" s="2" t="inlineStr">
        <is>
          <t xml:space="preserve">Summer tournament</t>
        </is>
      </c>
      <c r="C692" s="8" t="inlineStr">
        <is>
          <t xml:space="preserve">D</t>
        </is>
      </c>
      <c r="D692" s="8">
        <v>2025</v>
      </c>
      <c r="E692" s="6">
        <v>4</v>
      </c>
      <c r="F692" s="2" t="inlineStr">
        <is>
          <t xml:space="preserve">Hard</t>
        </is>
      </c>
      <c r="G692" s="2" t="inlineStr">
        <is>
          <t xml:space="preserve">Number theory</t>
        </is>
      </c>
      <c r="H692" s="2" t="inlineStr">
        <is>
          <t xml:space="preserve">Math / Formula</t>
        </is>
      </c>
      <c r="I692" s="2" t="inlineStr">
        <is>
          <t xml:space="preserve">Math, Long long, Arrays</t>
        </is>
      </c>
      <c r="J692" s="2" t="inlineStr">
        <is>
          <t xml:space="preserve">All values must reach a common multiple using factors below K: check prime gaps</t>
        </is>
      </c>
      <c r="K692" s="2" t="inlineStr">
        <is>
          <t xml:space="preserve"/>
        </is>
      </c>
      <c r="L692" s="9" t="str">
        <f>HYPERLINK("https://arena.olimpiici.com/#/catalog/885/problem/102443","open problem")</f>
        <v>open problem</v>
      </c>
    </row>
    <row r="693">
      <c r="A693" s="2" t="inlineStr">
        <is>
          <t xml:space="preserve">regions</t>
        </is>
      </c>
      <c r="B693" s="2" t="inlineStr">
        <is>
          <t xml:space="preserve">Summer tournament</t>
        </is>
      </c>
      <c r="C693" s="8" t="inlineStr">
        <is>
          <t xml:space="preserve">D</t>
        </is>
      </c>
      <c r="D693" s="8">
        <v>2025</v>
      </c>
      <c r="E693" s="6">
        <v>4</v>
      </c>
      <c r="F693" s="2" t="inlineStr">
        <is>
          <t xml:space="preserve">Hard</t>
        </is>
      </c>
      <c r="G693" s="2" t="inlineStr">
        <is>
          <t xml:space="preserve">Dynamic programming</t>
        </is>
      </c>
      <c r="H693" s="2" t="inlineStr">
        <is>
          <t xml:space="preserve">Grid/Matrix</t>
        </is>
      </c>
      <c r="I693" s="2" t="inlineStr">
        <is>
          <t xml:space="preserve">2D arrays, Grid/Matrix, Long long</t>
        </is>
      </c>
      <c r="J693" s="2" t="inlineStr">
        <is>
          <t xml:space="preserve">Diamond-shaped regions grow by one ring: DP the largest free diamond per cell</t>
        </is>
      </c>
      <c r="K693" s="2" t="inlineStr">
        <is>
          <t xml:space="preserve"/>
        </is>
      </c>
      <c r="L693" s="9" t="str">
        <f>HYPERLINK("https://arena.olimpiici.com/#/catalog/885/problem/102444","open problem")</f>
        <v>open problem</v>
      </c>
    </row>
    <row r="694">
      <c r="A694" s="2" t="inlineStr">
        <is>
          <t xml:space="preserve">small</t>
        </is>
      </c>
      <c r="B694" s="2" t="inlineStr">
        <is>
          <t xml:space="preserve">Summer tournament</t>
        </is>
      </c>
      <c r="C694" s="8" t="inlineStr">
        <is>
          <t xml:space="preserve">D</t>
        </is>
      </c>
      <c r="D694" s="8">
        <v>2025</v>
      </c>
      <c r="E694" s="6">
        <v>4</v>
      </c>
      <c r="F694" s="2" t="inlineStr">
        <is>
          <t xml:space="preserve">Hard</t>
        </is>
      </c>
      <c r="G694" s="2" t="inlineStr">
        <is>
          <t xml:space="preserve">Two pointers / Sliding window</t>
        </is>
      </c>
      <c r="H694" s="2" t="inlineStr">
        <is>
          <t xml:space="preserve">Counting / Frequency arrays</t>
        </is>
      </c>
      <c r="I694" s="2" t="inlineStr">
        <is>
          <t xml:space="preserve">Strings, Two pointers, Counting array</t>
        </is>
      </c>
      <c r="J694" s="2" t="inlineStr">
        <is>
          <t xml:space="preserve">Minimum window of s containing all letters of t with multiplicity</t>
        </is>
      </c>
      <c r="K694" s="2" t="inlineStr">
        <is>
          <t xml:space="preserve"/>
        </is>
      </c>
      <c r="L694" s="9" t="str">
        <f>HYPERLINK("https://arena.olimpiici.com/#/catalog/885/problem/102445","open problem")</f>
        <v>open problem</v>
      </c>
    </row>
    <row r="695">
      <c r="A695" s="2" t="inlineStr">
        <is>
          <t xml:space="preserve">sum</t>
        </is>
      </c>
      <c r="B695" s="2" t="inlineStr">
        <is>
          <t xml:space="preserve">Summer tournament</t>
        </is>
      </c>
      <c r="C695" s="8" t="inlineStr">
        <is>
          <t xml:space="preserve">D</t>
        </is>
      </c>
      <c r="D695" s="8">
        <v>2026</v>
      </c>
      <c r="E695" s="6">
        <v>4</v>
      </c>
      <c r="F695" s="2" t="inlineStr">
        <is>
          <t xml:space="preserve">Hard</t>
        </is>
      </c>
      <c r="G695" s="2" t="inlineStr">
        <is>
          <t xml:space="preserve">Recursion / Backtracking</t>
        </is>
      </c>
      <c r="H695" s="2" t="inlineStr">
        <is>
          <t xml:space="preserve">Combinatorics</t>
        </is>
      </c>
      <c r="I695" s="2" t="inlineStr">
        <is>
          <t xml:space="preserve">Recursion, Counting array, Strings</t>
        </is>
      </c>
      <c r="J695" s="2" t="inlineStr">
        <is>
          <t xml:space="preserve">Search digit permutations of A and B, column by column, so the sum equals C</t>
        </is>
      </c>
      <c r="K695" s="2" t="inlineStr">
        <is>
          <t xml:space="preserve">Рекурсия (recursion)</t>
        </is>
      </c>
      <c r="L695" s="9" t="str">
        <f>HYPERLINK("https://arena.olimpiici.com/#/catalog/961/problem/102723","open problem")</f>
        <v>open problem</v>
      </c>
    </row>
    <row r="696">
      <c r="A696" s="2" t="inlineStr">
        <is>
          <t xml:space="preserve">coloring</t>
        </is>
      </c>
      <c r="B696" s="2" t="inlineStr">
        <is>
          <t xml:space="preserve">Summer tournament</t>
        </is>
      </c>
      <c r="C696" s="8" t="inlineStr">
        <is>
          <t xml:space="preserve">D</t>
        </is>
      </c>
      <c r="D696" s="8">
        <v>2026</v>
      </c>
      <c r="E696" s="5">
        <v>3</v>
      </c>
      <c r="F696" s="2" t="inlineStr">
        <is>
          <t xml:space="preserve">Medium</t>
        </is>
      </c>
      <c r="G696" s="2" t="inlineStr">
        <is>
          <t xml:space="preserve">Graph traversal (BFS/DFS)</t>
        </is>
      </c>
      <c r="H696" s="2" t="inlineStr">
        <is>
          <t xml:space="preserve">Greedy</t>
        </is>
      </c>
      <c r="I696" s="2" t="inlineStr">
        <is>
          <t xml:space="preserve">Vectors, Queues, Arrays</t>
        </is>
      </c>
      <c r="J696" s="2" t="inlineStr">
        <is>
          <t xml:space="preserve">Two-colour each component, keep the side with the larger reward sum</t>
        </is>
      </c>
      <c r="K696" s="2" t="inlineStr">
        <is>
          <t xml:space="preserve">Графи / Търсене в ширина (BFS); Графи / Търсене в дълбочина (DFS); Графи</t>
        </is>
      </c>
      <c r="L696" s="9" t="str">
        <f>HYPERLINK("https://arena.olimpiici.com/#/catalog/961/problem/102724","open problem")</f>
        <v>open problem</v>
      </c>
    </row>
    <row r="697">
      <c r="A697" s="2" t="inlineStr">
        <is>
          <t xml:space="preserve">fact</t>
        </is>
      </c>
      <c r="B697" s="2" t="inlineStr">
        <is>
          <t xml:space="preserve">Summer tournament</t>
        </is>
      </c>
      <c r="C697" s="8" t="inlineStr">
        <is>
          <t xml:space="preserve">D</t>
        </is>
      </c>
      <c r="D697" s="8">
        <v>2026</v>
      </c>
      <c r="E697" s="6">
        <v>4</v>
      </c>
      <c r="F697" s="2" t="inlineStr">
        <is>
          <t xml:space="preserve">Hard</t>
        </is>
      </c>
      <c r="G697" s="2" t="inlineStr">
        <is>
          <t xml:space="preserve">Binary search</t>
        </is>
      </c>
      <c r="H697" s="2" t="inlineStr">
        <is>
          <t xml:space="preserve">Number theory</t>
        </is>
      </c>
      <c r="I697" s="2" t="inlineStr">
        <is>
          <t xml:space="preserve">Long long, Math, Loops</t>
        </is>
      </c>
      <c r="J697" s="2" t="inlineStr">
        <is>
          <t xml:space="preserve">Legendre's formula: binary search the smallest n with enough factors of each p</t>
        </is>
      </c>
      <c r="K697" s="2" t="inlineStr">
        <is>
          <t xml:space="preserve">Математика / Прости числа; Математика; Двоично търсене (binary search); Двоично търсене по отговора (binary search)</t>
        </is>
      </c>
      <c r="L697" s="9" t="str">
        <f>HYPERLINK("https://arena.olimpiici.com/#/catalog/961/problem/102725","open problem")</f>
        <v>open problem</v>
      </c>
    </row>
    <row r="698">
      <c r="A698" s="2" t="inlineStr">
        <is>
          <t xml:space="preserve">future</t>
        </is>
      </c>
      <c r="B698" s="2" t="inlineStr">
        <is>
          <t xml:space="preserve">Winter tournament</t>
        </is>
      </c>
      <c r="C698" s="8" t="inlineStr">
        <is>
          <t xml:space="preserve">C</t>
        </is>
      </c>
      <c r="D698" s="8">
        <v>2008</v>
      </c>
      <c r="E698" s="5">
        <v>3</v>
      </c>
      <c r="F698" s="2" t="inlineStr">
        <is>
          <t xml:space="preserve">Medium</t>
        </is>
      </c>
      <c r="G698" s="2" t="inlineStr">
        <is>
          <t xml:space="preserve">Big numbers</t>
        </is>
      </c>
      <c r="H698" s="2" t="inlineStr">
        <is>
          <t xml:space="preserve">Implementation / Simulation</t>
        </is>
      </c>
      <c r="I698" s="2" t="inlineStr">
        <is>
          <t xml:space="preserve">Big integers, Strings, Arrays</t>
        </is>
      </c>
      <c r="J698" s="2" t="inlineStr">
        <is>
          <t xml:space="preserve">Subtract two 200-digit numbers, multiply by the age, then reduce the digits</t>
        </is>
      </c>
      <c r="K698" s="2" t="inlineStr">
        <is>
          <t xml:space="preserve"/>
        </is>
      </c>
      <c r="L698" s="9" t="str">
        <f>HYPERLINK("https://arena.olimpiici.com/#/catalog/849/problem/102274","open problem")</f>
        <v>open problem</v>
      </c>
    </row>
    <row r="699">
      <c r="A699" s="2" t="inlineStr">
        <is>
          <t xml:space="preserve">tri</t>
        </is>
      </c>
      <c r="B699" s="2" t="inlineStr">
        <is>
          <t xml:space="preserve">Winter tournament</t>
        </is>
      </c>
      <c r="C699" s="8" t="inlineStr">
        <is>
          <t xml:space="preserve">C</t>
        </is>
      </c>
      <c r="D699" s="8">
        <v>2008</v>
      </c>
      <c r="E699" s="6">
        <v>4</v>
      </c>
      <c r="F699" s="2" t="inlineStr">
        <is>
          <t xml:space="preserve">Hard</t>
        </is>
      </c>
      <c r="G699" s="2" t="inlineStr">
        <is>
          <t xml:space="preserve">Graph traversal (BFS/DFS)</t>
        </is>
      </c>
      <c r="H699" s="2" t="inlineStr">
        <is>
          <t xml:space="preserve">Brute force</t>
        </is>
      </c>
      <c r="I699" s="2" t="inlineStr">
        <is>
          <t xml:space="preserve">2D arrays, Vectors, Nested loops</t>
        </is>
      </c>
      <c r="J699" s="2" t="inlineStr">
        <is>
          <t xml:space="preserve">Find a triangle in a graph of N&lt;2000 squares, minimising the sum of its labels</t>
        </is>
      </c>
      <c r="K699" s="2" t="inlineStr">
        <is>
          <t xml:space="preserve"/>
        </is>
      </c>
      <c r="L699" s="9" t="str">
        <f>HYPERLINK("https://arena.olimpiici.com/#/catalog/849/problem/102275","open problem")</f>
        <v>open problem</v>
      </c>
    </row>
    <row r="700">
      <c r="A700" s="2" t="inlineStr">
        <is>
          <t xml:space="preserve">context</t>
        </is>
      </c>
      <c r="B700" s="2" t="inlineStr">
        <is>
          <t xml:space="preserve">Winter tournament</t>
        </is>
      </c>
      <c r="C700" s="8" t="inlineStr">
        <is>
          <t xml:space="preserve">C</t>
        </is>
      </c>
      <c r="D700" s="8">
        <v>2008</v>
      </c>
      <c r="E700" s="5">
        <v>3</v>
      </c>
      <c r="F700" s="2" t="inlineStr">
        <is>
          <t xml:space="preserve">Medium</t>
        </is>
      </c>
      <c r="G700" s="2" t="inlineStr">
        <is>
          <t xml:space="preserve">String processing</t>
        </is>
      </c>
      <c r="H700" s="2" t="inlineStr">
        <is>
          <t xml:space="preserve">Implementation / Simulation</t>
        </is>
      </c>
      <c r="I700" s="2" t="inlineStr">
        <is>
          <t xml:space="preserve">Strings, Chars, I/O parsing</t>
        </is>
      </c>
      <c r="J700" s="2" t="inlineStr">
        <is>
          <t xml:space="preserve">Case-insensitive keyword search printing N characters of context on each side</t>
        </is>
      </c>
      <c r="K700" s="2" t="inlineStr">
        <is>
          <t xml:space="preserve"/>
        </is>
      </c>
      <c r="L700" s="9" t="str">
        <f>HYPERLINK("https://arena.olimpiici.com/#/catalog/849/problem/102276","open problem")</f>
        <v>open problem</v>
      </c>
    </row>
    <row r="701">
      <c r="A701" s="2" t="inlineStr">
        <is>
          <t xml:space="preserve">cube</t>
        </is>
      </c>
      <c r="B701" s="2" t="inlineStr">
        <is>
          <t xml:space="preserve">Winter tournament</t>
        </is>
      </c>
      <c r="C701" s="8" t="inlineStr">
        <is>
          <t xml:space="preserve">C</t>
        </is>
      </c>
      <c r="D701" s="8">
        <v>2009</v>
      </c>
      <c r="E701" s="6">
        <v>4</v>
      </c>
      <c r="F701" s="2" t="inlineStr">
        <is>
          <t xml:space="preserve">Hard</t>
        </is>
      </c>
      <c r="G701" s="2" t="inlineStr">
        <is>
          <t xml:space="preserve">Graph traversal (BFS/DFS)</t>
        </is>
      </c>
      <c r="H701" s="2" t="inlineStr">
        <is>
          <t xml:space="preserve">Implementation / Simulation</t>
        </is>
      </c>
      <c r="I701" s="2" t="inlineStr">
        <is>
          <t xml:space="preserve">Queues, 2D arrays, Structs</t>
        </is>
      </c>
      <c r="J701" s="2" t="inlineStr">
        <is>
          <t xml:space="preserve">BFS over (square, cube orientation) states, minimising rolls then the sum</t>
        </is>
      </c>
      <c r="K701" s="2" t="inlineStr">
        <is>
          <t xml:space="preserve"/>
        </is>
      </c>
      <c r="L701" s="9" t="str">
        <f>HYPERLINK("https://arena.olimpiici.com/#/catalog/326/problem/100910","open problem")</f>
        <v>open problem</v>
      </c>
    </row>
    <row r="702">
      <c r="A702" s="2" t="inlineStr">
        <is>
          <t xml:space="preserve">valley</t>
        </is>
      </c>
      <c r="B702" s="2" t="inlineStr">
        <is>
          <t xml:space="preserve">Winter tournament</t>
        </is>
      </c>
      <c r="C702" s="8" t="inlineStr">
        <is>
          <t xml:space="preserve">C</t>
        </is>
      </c>
      <c r="D702" s="8">
        <v>2009</v>
      </c>
      <c r="E702" s="5">
        <v>3</v>
      </c>
      <c r="F702" s="2" t="inlineStr">
        <is>
          <t xml:space="preserve">Medium</t>
        </is>
      </c>
      <c r="G702" s="2" t="inlineStr">
        <is>
          <t xml:space="preserve">Geometry</t>
        </is>
      </c>
      <c r="H702" s="2" t="inlineStr">
        <is>
          <t xml:space="preserve">Implementation / Simulation</t>
        </is>
      </c>
      <c r="I702" s="2" t="inlineStr">
        <is>
          <t xml:space="preserve">Arrays, Loops, Math</t>
        </is>
      </c>
      <c r="J702" s="2" t="inlineStr">
        <is>
          <t xml:space="preserve">Build the mountain silhouette from the triangles, count local minima</t>
        </is>
      </c>
      <c r="K702" s="2" t="inlineStr">
        <is>
          <t xml:space="preserve"/>
        </is>
      </c>
      <c r="L702" s="9" t="str">
        <f>HYPERLINK("https://arena.olimpiici.com/#/catalog/326/problem/100911","open problem")</f>
        <v>open problem</v>
      </c>
    </row>
    <row r="703">
      <c r="A703" s="2" t="inlineStr">
        <is>
          <t xml:space="preserve">divcnt</t>
        </is>
      </c>
      <c r="B703" s="2" t="inlineStr">
        <is>
          <t xml:space="preserve">Winter tournament</t>
        </is>
      </c>
      <c r="C703" s="8" t="inlineStr">
        <is>
          <t xml:space="preserve">C</t>
        </is>
      </c>
      <c r="D703" s="8">
        <v>2009</v>
      </c>
      <c r="E703" s="4">
        <v>2</v>
      </c>
      <c r="F703" s="2" t="inlineStr">
        <is>
          <t xml:space="preserve">Easy</t>
        </is>
      </c>
      <c r="G703" s="2" t="inlineStr">
        <is>
          <t xml:space="preserve">Number theory</t>
        </is>
      </c>
      <c r="H703" s="2" t="inlineStr">
        <is>
          <t xml:space="preserve">Math / Formula</t>
        </is>
      </c>
      <c r="I703" s="2" t="inlineStr">
        <is>
          <t xml:space="preserve">Loops, Math, Long long</t>
        </is>
      </c>
      <c r="J703" s="2" t="inlineStr">
        <is>
          <t xml:space="preserve">Trial division up to sqrt(a) counts the divisors of each number</t>
        </is>
      </c>
      <c r="K703" s="2" t="inlineStr">
        <is>
          <t xml:space="preserve">Математика / Решето на Ератостен</t>
        </is>
      </c>
      <c r="L703" s="9" t="str">
        <f>HYPERLINK("https://arena.olimpiici.com/#/catalog/326/problem/100912","open problem")</f>
        <v>open problem</v>
      </c>
    </row>
    <row r="704">
      <c r="A704" s="2" t="inlineStr">
        <is>
          <t xml:space="preserve">sheep</t>
        </is>
      </c>
      <c r="B704" s="2" t="inlineStr">
        <is>
          <t xml:space="preserve">Winter tournament</t>
        </is>
      </c>
      <c r="C704" s="8" t="inlineStr">
        <is>
          <t xml:space="preserve">C</t>
        </is>
      </c>
      <c r="D704" s="8">
        <v>2010</v>
      </c>
      <c r="E704" s="5">
        <v>3</v>
      </c>
      <c r="F704" s="2" t="inlineStr">
        <is>
          <t xml:space="preserve">Medium</t>
        </is>
      </c>
      <c r="G704" s="2" t="inlineStr">
        <is>
          <t xml:space="preserve">Binary search</t>
        </is>
      </c>
      <c r="H704" s="2" t="inlineStr">
        <is>
          <t xml:space="preserve">Greedy</t>
        </is>
      </c>
      <c r="I704" s="2" t="inlineStr">
        <is>
          <t xml:space="preserve">Sorting, Arrays, Loops</t>
        </is>
      </c>
      <c r="J704" s="2" t="inlineStr">
        <is>
          <t xml:space="preserve">Binary search the boat capacity, simulate the greedy loading for each trip</t>
        </is>
      </c>
      <c r="K704" s="2" t="inlineStr">
        <is>
          <t xml:space="preserve">Двоично търсене по отговора (binary search)</t>
        </is>
      </c>
      <c r="L704" s="9" t="str">
        <f>HYPERLINK("https://arena.olimpiici.com/#/catalog/332/problem/100925","open problem")</f>
        <v>open problem</v>
      </c>
    </row>
    <row r="705">
      <c r="A705" s="2" t="inlineStr">
        <is>
          <t xml:space="preserve">segments</t>
        </is>
      </c>
      <c r="B705" s="2" t="inlineStr">
        <is>
          <t xml:space="preserve">Winter tournament</t>
        </is>
      </c>
      <c r="C705" s="8" t="inlineStr">
        <is>
          <t xml:space="preserve">C</t>
        </is>
      </c>
      <c r="D705" s="8">
        <v>2010</v>
      </c>
      <c r="E705" s="6">
        <v>4</v>
      </c>
      <c r="F705" s="2" t="inlineStr">
        <is>
          <t xml:space="preserve">Hard</t>
        </is>
      </c>
      <c r="G705" s="2" t="inlineStr">
        <is>
          <t xml:space="preserve">Sorting</t>
        </is>
      </c>
      <c r="H705" s="2" t="inlineStr">
        <is>
          <t xml:space="preserve">Prefix sums</t>
        </is>
      </c>
      <c r="I705" s="2" t="inlineStr">
        <is>
          <t xml:space="preserve">Sorting, Prefix sums, Pairs, Long long</t>
        </is>
      </c>
      <c r="J705" s="2" t="inlineStr">
        <is>
          <t xml:space="preserve">Sweep segment endpoints to find maximum coverage, then count integer points</t>
        </is>
      </c>
      <c r="K705" s="2" t="inlineStr">
        <is>
          <t xml:space="preserve"/>
        </is>
      </c>
      <c r="L705" s="9" t="str">
        <f>HYPERLINK("https://arena.olimpiici.com/#/catalog/332/problem/100926","open problem")</f>
        <v>open problem</v>
      </c>
    </row>
    <row r="706">
      <c r="A706" s="2" t="inlineStr">
        <is>
          <t xml:space="preserve">position</t>
        </is>
      </c>
      <c r="B706" s="2" t="inlineStr">
        <is>
          <t xml:space="preserve">Winter tournament</t>
        </is>
      </c>
      <c r="C706" s="8" t="inlineStr">
        <is>
          <t xml:space="preserve">C</t>
        </is>
      </c>
      <c r="D706" s="8">
        <v>2010</v>
      </c>
      <c r="E706" s="4">
        <v>2</v>
      </c>
      <c r="F706" s="2" t="inlineStr">
        <is>
          <t xml:space="preserve">Easy</t>
        </is>
      </c>
      <c r="G706" s="2" t="inlineStr">
        <is>
          <t xml:space="preserve">Implementation / Simulation</t>
        </is>
      </c>
      <c r="H706" s="2" t="inlineStr">
        <is>
          <t xml:space="preserve">Math / Formula</t>
        </is>
      </c>
      <c r="I706" s="2" t="inlineStr">
        <is>
          <t xml:space="preserve">Long long, Strings, Loops</t>
        </is>
      </c>
      <c r="J706" s="2" t="inlineStr">
        <is>
          <t xml:space="preserve">Concatenate squares until the k-th digit is reached</t>
        </is>
      </c>
      <c r="K706" s="2" t="inlineStr">
        <is>
          <t xml:space="preserve"/>
        </is>
      </c>
      <c r="L706" s="9" t="str">
        <f>HYPERLINK("https://arena.olimpiici.com/#/catalog/332/problem/100927","open problem")</f>
        <v>open problem</v>
      </c>
    </row>
    <row r="707">
      <c r="A707" s="2" t="inlineStr">
        <is>
          <t xml:space="preserve">songs</t>
        </is>
      </c>
      <c r="B707" s="2" t="inlineStr">
        <is>
          <t xml:space="preserve">Winter tournament</t>
        </is>
      </c>
      <c r="C707" s="8" t="inlineStr">
        <is>
          <t xml:space="preserve">C</t>
        </is>
      </c>
      <c r="D707" s="8">
        <v>2011</v>
      </c>
      <c r="E707" s="6">
        <v>4</v>
      </c>
      <c r="F707" s="2" t="inlineStr">
        <is>
          <t xml:space="preserve">Hard</t>
        </is>
      </c>
      <c r="G707" s="2" t="inlineStr">
        <is>
          <t xml:space="preserve">Sorting</t>
        </is>
      </c>
      <c r="H707" s="2" t="inlineStr">
        <is>
          <t xml:space="preserve">Data structures</t>
        </is>
      </c>
      <c r="I707" s="2" t="inlineStr">
        <is>
          <t xml:space="preserve">Arrays, Sorting, Long long</t>
        </is>
      </c>
      <c r="J707" s="2" t="inlineStr">
        <is>
          <t xml:space="preserve">Discordant pairs are inversions: merge sort or a BIT counts them</t>
        </is>
      </c>
      <c r="K707" s="2" t="inlineStr">
        <is>
          <t xml:space="preserve"/>
        </is>
      </c>
      <c r="L707" s="9" t="str">
        <f>HYPERLINK("https://arena.olimpiici.com/#/catalog/338/problem/100941","open problem")</f>
        <v>open problem</v>
      </c>
    </row>
    <row r="708">
      <c r="A708" s="2" t="inlineStr">
        <is>
          <t xml:space="preserve">runaway</t>
        </is>
      </c>
      <c r="B708" s="2" t="inlineStr">
        <is>
          <t xml:space="preserve">Winter tournament</t>
        </is>
      </c>
      <c r="C708" s="8" t="inlineStr">
        <is>
          <t xml:space="preserve">C</t>
        </is>
      </c>
      <c r="D708" s="8">
        <v>2011</v>
      </c>
      <c r="E708" s="5">
        <v>3</v>
      </c>
      <c r="F708" s="2" t="inlineStr">
        <is>
          <t xml:space="preserve">Medium</t>
        </is>
      </c>
      <c r="G708" s="2" t="inlineStr">
        <is>
          <t xml:space="preserve">Graph traversal (BFS/DFS)</t>
        </is>
      </c>
      <c r="H708" s="2" t="inlineStr">
        <is>
          <t xml:space="preserve">Grid/Matrix</t>
        </is>
      </c>
      <c r="I708" s="2" t="inlineStr">
        <is>
          <t xml:space="preserve">Queues, 2D arrays, Grid/Matrix</t>
        </is>
      </c>
      <c r="J708" s="2" t="inlineStr">
        <is>
          <t xml:space="preserve">BFS from the top-right room, answer each exit query by its stored distance</t>
        </is>
      </c>
      <c r="K708" s="2" t="inlineStr">
        <is>
          <t xml:space="preserve"/>
        </is>
      </c>
      <c r="L708" s="9" t="str">
        <f>HYPERLINK("https://arena.olimpiici.com/#/catalog/338/problem/100942","open problem")</f>
        <v>open problem</v>
      </c>
    </row>
    <row r="709">
      <c r="A709" s="2" t="inlineStr">
        <is>
          <t xml:space="preserve">trick</t>
        </is>
      </c>
      <c r="B709" s="2" t="inlineStr">
        <is>
          <t xml:space="preserve">Winter tournament</t>
        </is>
      </c>
      <c r="C709" s="8" t="inlineStr">
        <is>
          <t xml:space="preserve">C</t>
        </is>
      </c>
      <c r="D709" s="8">
        <v>2011</v>
      </c>
      <c r="E709" s="4">
        <v>2</v>
      </c>
      <c r="F709" s="2" t="inlineStr">
        <is>
          <t xml:space="preserve">Easy</t>
        </is>
      </c>
      <c r="G709" s="2" t="inlineStr">
        <is>
          <t xml:space="preserve">Implementation / Simulation</t>
        </is>
      </c>
      <c r="H709" s="2" t="inlineStr">
        <is>
          <t xml:space="preserve">Math / Formula</t>
        </is>
      </c>
      <c r="I709" s="2" t="inlineStr">
        <is>
          <t xml:space="preserve">Stacks, Arrays, I/O parsing</t>
        </is>
      </c>
      <c r="J709" s="2" t="inlineStr">
        <is>
          <t xml:space="preserve">Read all operations then undo them backwards from the final result</t>
        </is>
      </c>
      <c r="K709" s="2" t="inlineStr">
        <is>
          <t xml:space="preserve"/>
        </is>
      </c>
      <c r="L709" s="9" t="str">
        <f>HYPERLINK("https://arena.olimpiici.com/#/catalog/338/problem/100943","open problem")</f>
        <v>open problem</v>
      </c>
    </row>
    <row r="710">
      <c r="A710" s="2" t="inlineStr">
        <is>
          <t xml:space="preserve">puzzles</t>
        </is>
      </c>
      <c r="B710" s="2" t="inlineStr">
        <is>
          <t xml:space="preserve">Winter tournament</t>
        </is>
      </c>
      <c r="C710" s="8" t="inlineStr">
        <is>
          <t xml:space="preserve">C</t>
        </is>
      </c>
      <c r="D710" s="8">
        <v>2012</v>
      </c>
      <c r="E710" s="5">
        <v>3</v>
      </c>
      <c r="F710" s="2" t="inlineStr">
        <is>
          <t xml:space="preserve">Medium</t>
        </is>
      </c>
      <c r="G710" s="2" t="inlineStr">
        <is>
          <t xml:space="preserve">Brute force</t>
        </is>
      </c>
      <c r="H710" s="2" t="inlineStr">
        <is>
          <t xml:space="preserve">Combinatorics</t>
        </is>
      </c>
      <c r="I710" s="2" t="inlineStr">
        <is>
          <t xml:space="preserve">Strings, Recursion, Arrays</t>
        </is>
      </c>
      <c r="J710" s="2" t="inlineStr">
        <is>
          <t xml:space="preserve">Try all digit assignments for at most five letters, count valid equalities</t>
        </is>
      </c>
      <c r="K710" s="2" t="inlineStr">
        <is>
          <t xml:space="preserve"/>
        </is>
      </c>
      <c r="L710" s="9" t="str">
        <f>HYPERLINK("https://arena.olimpiici.com/#/catalog/344/problem/100956","open problem")</f>
        <v>open problem</v>
      </c>
    </row>
    <row r="711">
      <c r="A711" s="2" t="inlineStr">
        <is>
          <t xml:space="preserve">nozero</t>
        </is>
      </c>
      <c r="B711" s="2" t="inlineStr">
        <is>
          <t xml:space="preserve">Winter tournament</t>
        </is>
      </c>
      <c r="C711" s="8" t="inlineStr">
        <is>
          <t xml:space="preserve">C</t>
        </is>
      </c>
      <c r="D711" s="8">
        <v>2012</v>
      </c>
      <c r="E711" s="6">
        <v>4</v>
      </c>
      <c r="F711" s="2" t="inlineStr">
        <is>
          <t xml:space="preserve">Hard</t>
        </is>
      </c>
      <c r="G711" s="2" t="inlineStr">
        <is>
          <t xml:space="preserve">Greedy</t>
        </is>
      </c>
      <c r="H711" s="2" t="inlineStr">
        <is>
          <t xml:space="preserve">Two pointers / Sliding window</t>
        </is>
      </c>
      <c r="I711" s="2" t="inlineStr">
        <is>
          <t xml:space="preserve">Arrays, Two pointers, Long long</t>
        </is>
      </c>
      <c r="J711" s="2" t="inlineStr">
        <is>
          <t xml:space="preserve">Match surplus 2s to zeros in order; the cost is a sum of prefix imbalances</t>
        </is>
      </c>
      <c r="K711" s="2" t="inlineStr">
        <is>
          <t xml:space="preserve"/>
        </is>
      </c>
      <c r="L711" s="9" t="str">
        <f>HYPERLINK("https://arena.olimpiici.com/#/catalog/344/problem/100957","open problem")</f>
        <v>open problem</v>
      </c>
    </row>
    <row r="712">
      <c r="A712" s="2" t="inlineStr">
        <is>
          <t xml:space="preserve">number</t>
        </is>
      </c>
      <c r="B712" s="2" t="inlineStr">
        <is>
          <t xml:space="preserve">Winter tournament</t>
        </is>
      </c>
      <c r="C712" s="8" t="inlineStr">
        <is>
          <t xml:space="preserve">C</t>
        </is>
      </c>
      <c r="D712" s="8">
        <v>2012</v>
      </c>
      <c r="E712" s="6">
        <v>4</v>
      </c>
      <c r="F712" s="2" t="inlineStr">
        <is>
          <t xml:space="preserve">Hard</t>
        </is>
      </c>
      <c r="G712" s="2" t="inlineStr">
        <is>
          <t xml:space="preserve">Greedy</t>
        </is>
      </c>
      <c r="H712" s="2" t="inlineStr">
        <is>
          <t xml:space="preserve">Dynamic programming</t>
        </is>
      </c>
      <c r="I712" s="2" t="inlineStr">
        <is>
          <t xml:space="preserve">Arrays, Strings, Math</t>
        </is>
      </c>
      <c r="J712" s="2" t="inlineStr">
        <is>
          <t xml:space="preserve">Build the smallest number digit by digit so digit sum is s and square sum p</t>
        </is>
      </c>
      <c r="K712" s="2" t="inlineStr">
        <is>
          <t xml:space="preserve"/>
        </is>
      </c>
      <c r="L712" s="9" t="str">
        <f>HYPERLINK("https://arena.olimpiici.com/#/catalog/344/problem/100958","open problem")</f>
        <v>open problem</v>
      </c>
    </row>
    <row r="713">
      <c r="A713" s="2" t="inlineStr">
        <is>
          <t xml:space="preserve">tom</t>
        </is>
      </c>
      <c r="B713" s="2" t="inlineStr">
        <is>
          <t xml:space="preserve">Winter tournament</t>
        </is>
      </c>
      <c r="C713" s="8" t="inlineStr">
        <is>
          <t xml:space="preserve">C</t>
        </is>
      </c>
      <c r="D713" s="8">
        <v>2013</v>
      </c>
      <c r="E713" s="6">
        <v>4</v>
      </c>
      <c r="F713" s="2" t="inlineStr">
        <is>
          <t xml:space="preserve">Hard</t>
        </is>
      </c>
      <c r="G713" s="2" t="inlineStr">
        <is>
          <t xml:space="preserve">Greedy</t>
        </is>
      </c>
      <c r="H713" s="2" t="inlineStr">
        <is>
          <t xml:space="preserve">Math / Formula</t>
        </is>
      </c>
      <c r="I713" s="2" t="inlineStr">
        <is>
          <t xml:space="preserve">Arrays, Long long, Sorting</t>
        </is>
      </c>
      <c r="J713" s="2" t="inlineStr">
        <is>
          <t xml:space="preserve">Bucket holds K boards: group sections greedily and count the return trips</t>
        </is>
      </c>
      <c r="K713" s="2" t="inlineStr">
        <is>
          <t xml:space="preserve"/>
        </is>
      </c>
      <c r="L713" s="9" t="str">
        <f>HYPERLINK("https://arena.olimpiici.com/#/catalog/350/problem/100971","open problem")</f>
        <v>open problem</v>
      </c>
    </row>
    <row r="714">
      <c r="A714" s="2" t="inlineStr">
        <is>
          <t xml:space="preserve">knight</t>
        </is>
      </c>
      <c r="B714" s="2" t="inlineStr">
        <is>
          <t xml:space="preserve">Winter tournament</t>
        </is>
      </c>
      <c r="C714" s="8" t="inlineStr">
        <is>
          <t xml:space="preserve">C</t>
        </is>
      </c>
      <c r="D714" s="8">
        <v>2013</v>
      </c>
      <c r="E714" s="5">
        <v>3</v>
      </c>
      <c r="F714" s="2" t="inlineStr">
        <is>
          <t xml:space="preserve">Medium</t>
        </is>
      </c>
      <c r="G714" s="2" t="inlineStr">
        <is>
          <t xml:space="preserve">Recursion / Backtracking</t>
        </is>
      </c>
      <c r="H714" s="2" t="inlineStr">
        <is>
          <t xml:space="preserve">Brute force</t>
        </is>
      </c>
      <c r="I714" s="2" t="inlineStr">
        <is>
          <t xml:space="preserve">2D arrays, Recursion, File I/O</t>
        </is>
      </c>
      <c r="J714" s="2" t="inlineStr">
        <is>
          <t xml:space="preserve">Output-only: backtrack offline to enumerate knight tours on a 4x5 board</t>
        </is>
      </c>
      <c r="K714" s="2" t="inlineStr">
        <is>
          <t xml:space="preserve">Output Only</t>
        </is>
      </c>
      <c r="L714" s="9" t="str">
        <f>HYPERLINK("https://arena.olimpiici.com/#/catalog/350/problem/100972","open problem")</f>
        <v>open problem</v>
      </c>
    </row>
    <row r="715">
      <c r="A715" s="2" t="inlineStr">
        <is>
          <t xml:space="preserve">cards</t>
        </is>
      </c>
      <c r="B715" s="2" t="inlineStr">
        <is>
          <t xml:space="preserve">Winter tournament</t>
        </is>
      </c>
      <c r="C715" s="8" t="inlineStr">
        <is>
          <t xml:space="preserve">C</t>
        </is>
      </c>
      <c r="D715" s="8">
        <v>2013</v>
      </c>
      <c r="E715" s="6">
        <v>4</v>
      </c>
      <c r="F715" s="2" t="inlineStr">
        <is>
          <t xml:space="preserve">Hard</t>
        </is>
      </c>
      <c r="G715" s="2" t="inlineStr">
        <is>
          <t xml:space="preserve">Greedy</t>
        </is>
      </c>
      <c r="H715" s="2" t="inlineStr">
        <is>
          <t xml:space="preserve">Constructive</t>
        </is>
      </c>
      <c r="I715" s="2" t="inlineStr">
        <is>
          <t xml:space="preserve">Strings, Arrays, Loops</t>
        </is>
      </c>
      <c r="J715" s="2" t="inlineStr">
        <is>
          <t xml:space="preserve">Pick from the two decks keeping the red/black stacks within one of each other</t>
        </is>
      </c>
      <c r="K715" s="2" t="inlineStr">
        <is>
          <t xml:space="preserve"/>
        </is>
      </c>
      <c r="L715" s="9" t="str">
        <f>HYPERLINK("https://arena.olimpiici.com/#/catalog/350/problem/100973","open problem")</f>
        <v>open problem</v>
      </c>
    </row>
    <row r="716">
      <c r="A716" s="2" t="inlineStr">
        <is>
          <t xml:space="preserve">speed</t>
        </is>
      </c>
      <c r="B716" s="2" t="inlineStr">
        <is>
          <t xml:space="preserve">Winter tournament</t>
        </is>
      </c>
      <c r="C716" s="8" t="inlineStr">
        <is>
          <t xml:space="preserve">C</t>
        </is>
      </c>
      <c r="D716" s="8">
        <v>2014</v>
      </c>
      <c r="E716" s="7">
        <v>5</v>
      </c>
      <c r="F716" s="2" t="inlineStr">
        <is>
          <t xml:space="preserve">Very hard</t>
        </is>
      </c>
      <c r="G716" s="2" t="inlineStr">
        <is>
          <t xml:space="preserve">Data structures</t>
        </is>
      </c>
      <c r="H716" s="2" t="inlineStr">
        <is>
          <t xml:space="preserve">Sorting</t>
        </is>
      </c>
      <c r="I716" s="2" t="inlineStr">
        <is>
          <t xml:space="preserve">Sorting, Arrays, Structs</t>
        </is>
      </c>
      <c r="J716" s="2" t="inlineStr">
        <is>
          <t xml:space="preserve">Minimum bottleneck spanning structure: sort edges and union until connected</t>
        </is>
      </c>
      <c r="K716" s="2" t="inlineStr">
        <is>
          <t xml:space="preserve">Advanced / Union Find / Disjoint Set Union; Графи / Покриващо дърво (Spanning tree)</t>
        </is>
      </c>
      <c r="L716" s="9" t="str">
        <f>HYPERLINK("https://arena.olimpiici.com/#/catalog/356/problem/100986","open problem")</f>
        <v>open problem</v>
      </c>
    </row>
    <row r="717">
      <c r="A717" s="2" t="inlineStr">
        <is>
          <t xml:space="preserve">spider</t>
        </is>
      </c>
      <c r="B717" s="2" t="inlineStr">
        <is>
          <t xml:space="preserve">Winter tournament</t>
        </is>
      </c>
      <c r="C717" s="8" t="inlineStr">
        <is>
          <t xml:space="preserve">C</t>
        </is>
      </c>
      <c r="D717" s="8">
        <v>2014</v>
      </c>
      <c r="E717" s="5">
        <v>3</v>
      </c>
      <c r="F717" s="2" t="inlineStr">
        <is>
          <t xml:space="preserve">Medium</t>
        </is>
      </c>
      <c r="G717" s="2" t="inlineStr">
        <is>
          <t xml:space="preserve">Sorting</t>
        </is>
      </c>
      <c r="H717" s="2" t="inlineStr">
        <is>
          <t xml:space="preserve">Prefix sums</t>
        </is>
      </c>
      <c r="I717" s="2" t="inlineStr">
        <is>
          <t xml:space="preserve">Sorting, Prefix sums, Long long, Modular arithmetic</t>
        </is>
      </c>
      <c r="J717" s="2" t="inlineStr">
        <is>
          <t xml:space="preserve">Sum of all pairwise Manhattan distances via sorted prefix sums per axis</t>
        </is>
      </c>
      <c r="K717" s="2" t="inlineStr">
        <is>
          <t xml:space="preserve"/>
        </is>
      </c>
      <c r="L717" s="9" t="str">
        <f>HYPERLINK("https://arena.olimpiici.com/#/catalog/356/problem/100987","open problem")</f>
        <v>open problem</v>
      </c>
    </row>
    <row r="718">
      <c r="A718" s="2" t="inlineStr">
        <is>
          <t xml:space="preserve">planini</t>
        </is>
      </c>
      <c r="B718" s="2" t="inlineStr">
        <is>
          <t xml:space="preserve">Winter tournament</t>
        </is>
      </c>
      <c r="C718" s="8" t="inlineStr">
        <is>
          <t xml:space="preserve">C</t>
        </is>
      </c>
      <c r="D718" s="8">
        <v>2014</v>
      </c>
      <c r="E718" s="7">
        <v>5</v>
      </c>
      <c r="F718" s="2" t="inlineStr">
        <is>
          <t xml:space="preserve">Very hard</t>
        </is>
      </c>
      <c r="G718" s="2" t="inlineStr">
        <is>
          <t xml:space="preserve">Data structures</t>
        </is>
      </c>
      <c r="H718" s="2" t="inlineStr">
        <is>
          <t xml:space="preserve">Ad hoc / Observation</t>
        </is>
      </c>
      <c r="I718" s="2" t="inlineStr">
        <is>
          <t xml:space="preserve">Stacks, Strings, Long long</t>
        </is>
      </c>
      <c r="J718" s="2" t="inlineStr">
        <is>
          <t xml:space="preserve">Monotonic stack counts visible pairs within distance l over 10^7 slopes</t>
        </is>
      </c>
      <c r="K718" s="2" t="inlineStr">
        <is>
          <t xml:space="preserve"/>
        </is>
      </c>
      <c r="L718" s="9" t="str">
        <f>HYPERLINK("https://arena.olimpiici.com/#/catalog/356/problem/100988","open problem")</f>
        <v>open problem</v>
      </c>
    </row>
    <row r="719">
      <c r="A719" s="2" t="inlineStr">
        <is>
          <t xml:space="preserve">encryption</t>
        </is>
      </c>
      <c r="B719" s="2" t="inlineStr">
        <is>
          <t xml:space="preserve">Winter tournament</t>
        </is>
      </c>
      <c r="C719" s="8" t="inlineStr">
        <is>
          <t xml:space="preserve">C</t>
        </is>
      </c>
      <c r="D719" s="8">
        <v>2015</v>
      </c>
      <c r="E719" s="5">
        <v>3</v>
      </c>
      <c r="F719" s="2" t="inlineStr">
        <is>
          <t xml:space="preserve">Medium</t>
        </is>
      </c>
      <c r="G719" s="2" t="inlineStr">
        <is>
          <t xml:space="preserve">Implementation / Simulation</t>
        </is>
      </c>
      <c r="H719" s="2" t="inlineStr">
        <is>
          <t xml:space="preserve">String processing</t>
        </is>
      </c>
      <c r="I719" s="2" t="inlineStr">
        <is>
          <t xml:space="preserve">Deque, Strings, Vectors</t>
        </is>
      </c>
      <c r="J719" s="2" t="inlineStr">
        <is>
          <t xml:space="preserve">Undo the alternating front/back insertion for words and for letters</t>
        </is>
      </c>
      <c r="K719" s="2" t="inlineStr">
        <is>
          <t xml:space="preserve"/>
        </is>
      </c>
      <c r="L719" s="9" t="str">
        <f>HYPERLINK("https://arena.olimpiici.com/#/catalog/362/problem/101001","open problem")</f>
        <v>open problem</v>
      </c>
    </row>
    <row r="720">
      <c r="A720" s="2" t="inlineStr">
        <is>
          <t xml:space="preserve">worktime</t>
        </is>
      </c>
      <c r="B720" s="2" t="inlineStr">
        <is>
          <t xml:space="preserve">Winter tournament</t>
        </is>
      </c>
      <c r="C720" s="8" t="inlineStr">
        <is>
          <t xml:space="preserve">C</t>
        </is>
      </c>
      <c r="D720" s="8">
        <v>2015</v>
      </c>
      <c r="E720" s="5">
        <v>3</v>
      </c>
      <c r="F720" s="2" t="inlineStr">
        <is>
          <t xml:space="preserve">Medium</t>
        </is>
      </c>
      <c r="G720" s="2" t="inlineStr">
        <is>
          <t xml:space="preserve">Prefix sums</t>
        </is>
      </c>
      <c r="H720" s="2" t="inlineStr">
        <is>
          <t xml:space="preserve">Implementation / Simulation</t>
        </is>
      </c>
      <c r="I720" s="2" t="inlineStr">
        <is>
          <t xml:space="preserve">Prefix sums, Dates, Arrays</t>
        </is>
      </c>
      <c r="J720" s="2" t="inlineStr">
        <is>
          <t xml:space="preserve">Precompute which of the 86400 seconds are 'consecutive moments', then prefix sum</t>
        </is>
      </c>
      <c r="K720" s="2" t="inlineStr">
        <is>
          <t xml:space="preserve"/>
        </is>
      </c>
      <c r="L720" s="9" t="str">
        <f>HYPERLINK("https://arena.olimpiici.com/#/catalog/362/problem/101002","open problem")</f>
        <v>open problem</v>
      </c>
    </row>
    <row r="721">
      <c r="A721" s="2" t="inlineStr">
        <is>
          <t xml:space="preserve">rod</t>
        </is>
      </c>
      <c r="B721" s="2" t="inlineStr">
        <is>
          <t xml:space="preserve">Winter tournament</t>
        </is>
      </c>
      <c r="C721" s="8" t="inlineStr">
        <is>
          <t xml:space="preserve">C</t>
        </is>
      </c>
      <c r="D721" s="8">
        <v>2015</v>
      </c>
      <c r="E721" s="6">
        <v>4</v>
      </c>
      <c r="F721" s="2" t="inlineStr">
        <is>
          <t xml:space="preserve">Hard</t>
        </is>
      </c>
      <c r="G721" s="2" t="inlineStr">
        <is>
          <t xml:space="preserve">Dynamic programming</t>
        </is>
      </c>
      <c r="H721" s="2" t="inlineStr">
        <is>
          <t xml:space="preserve">Prefix sums</t>
        </is>
      </c>
      <c r="I721" s="2" t="inlineStr">
        <is>
          <t xml:space="preserve">2D arrays, Prefix sums, Arrays</t>
        </is>
      </c>
      <c r="J721" s="2" t="inlineStr">
        <is>
          <t xml:space="preserve">Interval DP over cut points, like optimal matrix-chain/rod cutting</t>
        </is>
      </c>
      <c r="K721" s="2" t="inlineStr">
        <is>
          <t xml:space="preserve"/>
        </is>
      </c>
      <c r="L721" s="9" t="str">
        <f>HYPERLINK("https://arena.olimpiici.com/#/catalog/362/problem/101003","open problem")</f>
        <v>open problem</v>
      </c>
    </row>
    <row r="722">
      <c r="A722" s="2" t="inlineStr">
        <is>
          <t xml:space="preserve">divisor</t>
        </is>
      </c>
      <c r="B722" s="2" t="inlineStr">
        <is>
          <t xml:space="preserve">Winter tournament</t>
        </is>
      </c>
      <c r="C722" s="8" t="inlineStr">
        <is>
          <t xml:space="preserve">C</t>
        </is>
      </c>
      <c r="D722" s="8">
        <v>2016</v>
      </c>
      <c r="E722" s="5">
        <v>3</v>
      </c>
      <c r="F722" s="2" t="inlineStr">
        <is>
          <t xml:space="preserve">Medium</t>
        </is>
      </c>
      <c r="G722" s="2" t="inlineStr">
        <is>
          <t xml:space="preserve">Number theory</t>
        </is>
      </c>
      <c r="H722" s="2" t="inlineStr">
        <is>
          <t xml:space="preserve">Implementation / Simulation</t>
        </is>
      </c>
      <c r="I722" s="2" t="inlineStr">
        <is>
          <t xml:space="preserve">Arrays, Loops, Long long</t>
        </is>
      </c>
      <c r="J722" s="2" t="inlineStr">
        <is>
          <t xml:space="preserve">Sieve the largest prime factor, then iterate the recurrence n times</t>
        </is>
      </c>
      <c r="K722" s="2" t="inlineStr">
        <is>
          <t xml:space="preserve">Математика / Решето на Ератостен</t>
        </is>
      </c>
      <c r="L722" s="9" t="str">
        <f>HYPERLINK("https://arena.olimpiici.com/#/catalog/368/problem/101016","open problem")</f>
        <v>open problem</v>
      </c>
    </row>
    <row r="723">
      <c r="A723" s="2" t="inlineStr">
        <is>
          <t xml:space="preserve">hexgame</t>
        </is>
      </c>
      <c r="B723" s="2" t="inlineStr">
        <is>
          <t xml:space="preserve">Winter tournament</t>
        </is>
      </c>
      <c r="C723" s="8" t="inlineStr">
        <is>
          <t xml:space="preserve">C</t>
        </is>
      </c>
      <c r="D723" s="8">
        <v>2016</v>
      </c>
      <c r="E723" s="6">
        <v>4</v>
      </c>
      <c r="F723" s="2" t="inlineStr">
        <is>
          <t xml:space="preserve">Hard</t>
        </is>
      </c>
      <c r="G723" s="2" t="inlineStr">
        <is>
          <t xml:space="preserve">Dynamic programming</t>
        </is>
      </c>
      <c r="H723" s="2" t="inlineStr">
        <is>
          <t xml:space="preserve">Greedy</t>
        </is>
      </c>
      <c r="I723" s="2" t="inlineStr">
        <is>
          <t xml:space="preserve">2D arrays, Arrays, Loops</t>
        </is>
      </c>
      <c r="J723" s="2" t="inlineStr">
        <is>
          <t xml:space="preserve">DP over the six rotation states of each hexagon, cost is the rotation distance</t>
        </is>
      </c>
      <c r="K723" s="2" t="inlineStr">
        <is>
          <t xml:space="preserve"/>
        </is>
      </c>
      <c r="L723" s="9" t="str">
        <f>HYPERLINK("https://arena.olimpiici.com/#/catalog/368/problem/101017","open problem")</f>
        <v>open problem</v>
      </c>
    </row>
    <row r="724">
      <c r="A724" s="2" t="inlineStr">
        <is>
          <t xml:space="preserve">fligths</t>
        </is>
      </c>
      <c r="B724" s="2" t="inlineStr">
        <is>
          <t xml:space="preserve">Winter tournament</t>
        </is>
      </c>
      <c r="C724" s="8" t="inlineStr">
        <is>
          <t xml:space="preserve">C</t>
        </is>
      </c>
      <c r="D724" s="8">
        <v>2016</v>
      </c>
      <c r="E724" s="6">
        <v>4</v>
      </c>
      <c r="F724" s="2" t="inlineStr">
        <is>
          <t xml:space="preserve">Hard</t>
        </is>
      </c>
      <c r="G724" s="2" t="inlineStr">
        <is>
          <t xml:space="preserve">Graph traversal (BFS/DFS)</t>
        </is>
      </c>
      <c r="H724" s="2" t="inlineStr">
        <is>
          <t xml:space="preserve">Shortest path</t>
        </is>
      </c>
      <c r="I724" s="2" t="inlineStr">
        <is>
          <t xml:space="preserve">Vectors, Priority queue, Structs</t>
        </is>
      </c>
      <c r="J724" s="2" t="inlineStr">
        <is>
          <t xml:space="preserve">Widest-path (max bottleneck) from city 0 via a Dijkstra-style relaxation</t>
        </is>
      </c>
      <c r="K724" s="2" t="inlineStr">
        <is>
          <t xml:space="preserve"/>
        </is>
      </c>
      <c r="L724" s="9" t="str">
        <f>HYPERLINK("https://arena.olimpiici.com/#/catalog/368/problem/101018","open problem")</f>
        <v>open problem</v>
      </c>
    </row>
    <row r="725">
      <c r="A725" s="2" t="inlineStr">
        <is>
          <t xml:space="preserve">suma</t>
        </is>
      </c>
      <c r="B725" s="2" t="inlineStr">
        <is>
          <t xml:space="preserve">Winter tournament</t>
        </is>
      </c>
      <c r="C725" s="8" t="inlineStr">
        <is>
          <t xml:space="preserve">C</t>
        </is>
      </c>
      <c r="D725" s="8">
        <v>2017</v>
      </c>
      <c r="E725" s="4">
        <v>2</v>
      </c>
      <c r="F725" s="2" t="inlineStr">
        <is>
          <t xml:space="preserve">Easy</t>
        </is>
      </c>
      <c r="G725" s="2" t="inlineStr">
        <is>
          <t xml:space="preserve">Dynamic programming</t>
        </is>
      </c>
      <c r="H725" s="2" t="inlineStr">
        <is>
          <t xml:space="preserve">Ad hoc / Observation</t>
        </is>
      </c>
      <c r="I725" s="2" t="inlineStr">
        <is>
          <t xml:space="preserve">Arrays, Long long, Loops</t>
        </is>
      </c>
      <c r="J725" s="2" t="inlineStr">
        <is>
          <t xml:space="preserve">Kadane's maximum subarray, also tracking the start and end indices</t>
        </is>
      </c>
      <c r="K725" s="2" t="inlineStr">
        <is>
          <t xml:space="preserve">Динамично програмиране (Dynamic programming)</t>
        </is>
      </c>
      <c r="L725" s="9" t="str">
        <f>HYPERLINK("https://arena.olimpiici.com/#/catalog/374/problem/101031","open problem")</f>
        <v>open problem</v>
      </c>
    </row>
    <row r="726">
      <c r="A726" s="2" t="inlineStr">
        <is>
          <t xml:space="preserve">cross</t>
        </is>
      </c>
      <c r="B726" s="2" t="inlineStr">
        <is>
          <t xml:space="preserve">Winter tournament</t>
        </is>
      </c>
      <c r="C726" s="8" t="inlineStr">
        <is>
          <t xml:space="preserve">C</t>
        </is>
      </c>
      <c r="D726" s="8">
        <v>2017</v>
      </c>
      <c r="E726" s="6">
        <v>4</v>
      </c>
      <c r="F726" s="2" t="inlineStr">
        <is>
          <t xml:space="preserve">Hard</t>
        </is>
      </c>
      <c r="G726" s="2" t="inlineStr">
        <is>
          <t xml:space="preserve">Dynamic programming</t>
        </is>
      </c>
      <c r="H726" s="2" t="inlineStr">
        <is>
          <t xml:space="preserve">Grid/Matrix</t>
        </is>
      </c>
      <c r="I726" s="2" t="inlineStr">
        <is>
          <t xml:space="preserve">2D arrays, Grid/Matrix, Prefix sums</t>
        </is>
      </c>
      <c r="J726" s="2" t="inlineStr">
        <is>
          <t xml:space="preserve">Run lengths in four directions allowing one flipped zero, answered per query</t>
        </is>
      </c>
      <c r="K726" s="2" t="inlineStr">
        <is>
          <t xml:space="preserve"/>
        </is>
      </c>
      <c r="L726" s="9" t="str">
        <f>HYPERLINK("https://arena.olimpiici.com/#/catalog/374/problem/101032","open problem")</f>
        <v>open problem</v>
      </c>
    </row>
    <row r="727">
      <c r="A727" s="2" t="inlineStr">
        <is>
          <t xml:space="preserve">parallelogram</t>
        </is>
      </c>
      <c r="B727" s="2" t="inlineStr">
        <is>
          <t xml:space="preserve">Winter tournament</t>
        </is>
      </c>
      <c r="C727" s="8" t="inlineStr">
        <is>
          <t xml:space="preserve">C</t>
        </is>
      </c>
      <c r="D727" s="8">
        <v>2017</v>
      </c>
      <c r="E727" s="5">
        <v>3</v>
      </c>
      <c r="F727" s="2" t="inlineStr">
        <is>
          <t xml:space="preserve">Medium</t>
        </is>
      </c>
      <c r="G727" s="2" t="inlineStr">
        <is>
          <t xml:space="preserve">Combinatorics</t>
        </is>
      </c>
      <c r="H727" s="2" t="inlineStr">
        <is>
          <t xml:space="preserve">Hashing / Maps</t>
        </is>
      </c>
      <c r="I727" s="2" t="inlineStr">
        <is>
          <t xml:space="preserve">Maps, Pairs, Nested loops</t>
        </is>
      </c>
      <c r="J727" s="2" t="inlineStr">
        <is>
          <t xml:space="preserve">Two marked pairs with a shared midpoint form a parallelogram</t>
        </is>
      </c>
      <c r="K727" s="2" t="inlineStr">
        <is>
          <t xml:space="preserve"/>
        </is>
      </c>
      <c r="L727" s="9" t="str">
        <f>HYPERLINK("https://arena.olimpiici.com/#/catalog/374/problem/101033","open problem")</f>
        <v>open problem</v>
      </c>
    </row>
    <row r="728">
      <c r="A728" s="2" t="inlineStr">
        <is>
          <t xml:space="preserve">sorting</t>
        </is>
      </c>
      <c r="B728" s="2" t="inlineStr">
        <is>
          <t xml:space="preserve">Winter tournament</t>
        </is>
      </c>
      <c r="C728" s="8" t="inlineStr">
        <is>
          <t xml:space="preserve">C</t>
        </is>
      </c>
      <c r="D728" s="8">
        <v>2025</v>
      </c>
      <c r="E728" s="6">
        <v>4</v>
      </c>
      <c r="F728" s="2" t="inlineStr">
        <is>
          <t xml:space="preserve">Hard</t>
        </is>
      </c>
      <c r="G728" s="2" t="inlineStr">
        <is>
          <t xml:space="preserve">Sorting</t>
        </is>
      </c>
      <c r="H728" s="2" t="inlineStr">
        <is>
          <t xml:space="preserve">Ad hoc / Observation</t>
        </is>
      </c>
      <c r="I728" s="2" t="inlineStr">
        <is>
          <t xml:space="preserve">Sorting, Arrays, Maps</t>
        </is>
      </c>
      <c r="J728" s="2" t="inlineStr">
        <is>
          <t xml:space="preserve">Keep the longest already-ordered consecutive block; everything else needs one move</t>
        </is>
      </c>
      <c r="K728" s="2" t="inlineStr">
        <is>
          <t xml:space="preserve">Сортиране (sorting)</t>
        </is>
      </c>
      <c r="L728" s="9" t="str">
        <f>HYPERLINK("https://arena.olimpiici.com/#/catalog/853/problem/102289","open problem")</f>
        <v>open problem</v>
      </c>
    </row>
    <row r="729">
      <c r="A729" s="2" t="inlineStr">
        <is>
          <t xml:space="preserve">triples</t>
        </is>
      </c>
      <c r="B729" s="2" t="inlineStr">
        <is>
          <t xml:space="preserve">Winter tournament</t>
        </is>
      </c>
      <c r="C729" s="8" t="inlineStr">
        <is>
          <t xml:space="preserve">C</t>
        </is>
      </c>
      <c r="D729" s="8">
        <v>2025</v>
      </c>
      <c r="E729" s="6">
        <v>4</v>
      </c>
      <c r="F729" s="2" t="inlineStr">
        <is>
          <t xml:space="preserve">Hard</t>
        </is>
      </c>
      <c r="G729" s="2" t="inlineStr">
        <is>
          <t xml:space="preserve">Number theory</t>
        </is>
      </c>
      <c r="H729" s="2" t="inlineStr">
        <is>
          <t xml:space="preserve">Combinatorics</t>
        </is>
      </c>
      <c r="I729" s="2" t="inlineStr">
        <is>
          <t xml:space="preserve">Arrays, Counting array, Long long</t>
        </is>
      </c>
      <c r="J729" s="2" t="inlineStr">
        <is>
          <t xml:space="preserve">i*j is a square when both share a squarefree part: group and count triples</t>
        </is>
      </c>
      <c r="K729" s="2" t="inlineStr">
        <is>
          <t xml:space="preserve"/>
        </is>
      </c>
      <c r="L729" s="9" t="str">
        <f>HYPERLINK("https://arena.olimpiici.com/#/catalog/853/problem/102306","open problem")</f>
        <v>open problem</v>
      </c>
    </row>
    <row r="730">
      <c r="A730" s="2" t="inlineStr">
        <is>
          <t xml:space="preserve">markers</t>
        </is>
      </c>
      <c r="B730" s="2" t="inlineStr">
        <is>
          <t xml:space="preserve">Winter tournament</t>
        </is>
      </c>
      <c r="C730" s="8" t="inlineStr">
        <is>
          <t xml:space="preserve">C</t>
        </is>
      </c>
      <c r="D730" s="8">
        <v>2025</v>
      </c>
      <c r="E730" s="5">
        <v>3</v>
      </c>
      <c r="F730" s="2" t="inlineStr">
        <is>
          <t xml:space="preserve">Medium</t>
        </is>
      </c>
      <c r="G730" s="2" t="inlineStr">
        <is>
          <t xml:space="preserve">Combinatorics</t>
        </is>
      </c>
      <c r="H730" s="2" t="inlineStr">
        <is>
          <t xml:space="preserve">Math / Formula</t>
        </is>
      </c>
      <c r="I730" s="2" t="inlineStr">
        <is>
          <t xml:space="preserve">Math, Long long, Loops</t>
        </is>
      </c>
      <c r="J730" s="2" t="inlineStr">
        <is>
          <t xml:space="preserve">Count index quadruples satisfying nesting and equal-total-length constraints</t>
        </is>
      </c>
      <c r="K730" s="2" t="inlineStr">
        <is>
          <t xml:space="preserve">Комбинаторика</t>
        </is>
      </c>
      <c r="L730" s="9" t="str">
        <f>HYPERLINK("https://arena.olimpiici.com/#/catalog/853/problem/102307","open problem")</f>
        <v>open problem</v>
      </c>
    </row>
    <row r="731">
      <c r="A731" s="2" t="inlineStr">
        <is>
          <t xml:space="preserve">builds</t>
        </is>
      </c>
      <c r="B731" s="2" t="inlineStr">
        <is>
          <t xml:space="preserve">Winter tournament</t>
        </is>
      </c>
      <c r="C731" s="8" t="inlineStr">
        <is>
          <t xml:space="preserve">C</t>
        </is>
      </c>
      <c r="D731" s="8">
        <v>2026</v>
      </c>
      <c r="E731" s="7">
        <v>5</v>
      </c>
      <c r="F731" s="2" t="inlineStr">
        <is>
          <t xml:space="preserve">Very hard</t>
        </is>
      </c>
      <c r="G731" s="2" t="inlineStr">
        <is>
          <t xml:space="preserve">Two pointers / Sliding window</t>
        </is>
      </c>
      <c r="H731" s="2" t="inlineStr">
        <is>
          <t xml:space="preserve">Data structures</t>
        </is>
      </c>
      <c r="I731" s="2" t="inlineStr">
        <is>
          <t xml:space="preserve">Prefix sums, Two pointers, Long long</t>
        </is>
      </c>
      <c r="J731" s="2" t="inlineStr">
        <is>
          <t xml:space="preserve">Count request windows whose tallest plateau length falls inside [L1,L2]</t>
        </is>
      </c>
      <c r="K731" s="2" t="inlineStr">
        <is>
          <t xml:space="preserve"/>
        </is>
      </c>
      <c r="L731" s="9" t="str">
        <f>HYPERLINK("https://arena.olimpiici.com/#/catalog/913/problem/102532","open problem")</f>
        <v>open problem</v>
      </c>
    </row>
    <row r="732">
      <c r="A732" s="2" t="inlineStr">
        <is>
          <t xml:space="preserve">teams</t>
        </is>
      </c>
      <c r="B732" s="2" t="inlineStr">
        <is>
          <t xml:space="preserve">Winter tournament</t>
        </is>
      </c>
      <c r="C732" s="8" t="inlineStr">
        <is>
          <t xml:space="preserve">C</t>
        </is>
      </c>
      <c r="D732" s="8">
        <v>2026</v>
      </c>
      <c r="E732" s="7">
        <v>5</v>
      </c>
      <c r="F732" s="2" t="inlineStr">
        <is>
          <t xml:space="preserve">Very hard</t>
        </is>
      </c>
      <c r="G732" s="2" t="inlineStr">
        <is>
          <t xml:space="preserve">Dynamic programming</t>
        </is>
      </c>
      <c r="H732" s="2" t="inlineStr">
        <is>
          <t xml:space="preserve">Trees</t>
        </is>
      </c>
      <c r="I732" s="2" t="inlineStr">
        <is>
          <t xml:space="preserve">Vectors, Recursion, Modular arithmetic</t>
        </is>
      </c>
      <c r="J732" s="2" t="inlineStr">
        <is>
          <t xml:space="preserve">Tree DP counting team choices of a manager plus 2..K-1 direct subordinates</t>
        </is>
      </c>
      <c r="K732" s="2" t="inlineStr">
        <is>
          <t xml:space="preserve"/>
        </is>
      </c>
      <c r="L732" s="9" t="str">
        <f>HYPERLINK("https://arena.olimpiici.com/#/catalog/913/problem/102533","open problem")</f>
        <v>open problem</v>
      </c>
    </row>
    <row r="733">
      <c r="A733" s="2" t="inlineStr">
        <is>
          <t xml:space="preserve">bottles</t>
        </is>
      </c>
      <c r="B733" s="2" t="inlineStr">
        <is>
          <t xml:space="preserve">Winter tournament</t>
        </is>
      </c>
      <c r="C733" s="8" t="inlineStr">
        <is>
          <t xml:space="preserve">C</t>
        </is>
      </c>
      <c r="D733" s="8">
        <v>2026</v>
      </c>
      <c r="E733" s="7">
        <v>5</v>
      </c>
      <c r="F733" s="2" t="inlineStr">
        <is>
          <t xml:space="preserve">Very hard</t>
        </is>
      </c>
      <c r="G733" s="2" t="inlineStr">
        <is>
          <t xml:space="preserve">Greedy</t>
        </is>
      </c>
      <c r="H733" s="2" t="inlineStr">
        <is>
          <t xml:space="preserve">Data structures</t>
        </is>
      </c>
      <c r="I733" s="2" t="inlineStr">
        <is>
          <t xml:space="preserve">Sorting, Stacks, Long long</t>
        </is>
      </c>
      <c r="J733" s="2" t="inlineStr">
        <is>
          <t xml:space="preserve">LIFO kilns: nested time intervals decide how many furnaces are needed</t>
        </is>
      </c>
      <c r="K733" s="2" t="inlineStr">
        <is>
          <t xml:space="preserve"/>
        </is>
      </c>
      <c r="L733" s="9" t="str">
        <f>HYPERLINK("https://arena.olimpiici.com/#/catalog/913/problem/102535","open problem")</f>
        <v>open problem</v>
      </c>
    </row>
    <row r="734">
      <c r="A734" s="2" t="inlineStr">
        <is>
          <t xml:space="preserve">books</t>
        </is>
      </c>
      <c r="B734" s="2" t="inlineStr">
        <is>
          <t xml:space="preserve">Winter tournament</t>
        </is>
      </c>
      <c r="C734" s="8" t="inlineStr">
        <is>
          <t xml:space="preserve">D</t>
        </is>
      </c>
      <c r="D734" s="8">
        <v>2008</v>
      </c>
      <c r="E734" s="4">
        <v>2</v>
      </c>
      <c r="F734" s="2" t="inlineStr">
        <is>
          <t xml:space="preserve">Easy</t>
        </is>
      </c>
      <c r="G734" s="2" t="inlineStr">
        <is>
          <t xml:space="preserve">Sorting</t>
        </is>
      </c>
      <c r="H734" s="2" t="inlineStr">
        <is>
          <t xml:space="preserve">Math / Formula</t>
        </is>
      </c>
      <c r="I734" s="2" t="inlineStr">
        <is>
          <t xml:space="preserve">Sorting, Arrays, Math</t>
        </is>
      </c>
      <c r="J734" s="2" t="inlineStr">
        <is>
          <t xml:space="preserve">Custom comparator: even digit-sum codes ascending, odd ones descending, by digit product</t>
        </is>
      </c>
      <c r="K734" s="2" t="inlineStr">
        <is>
          <t xml:space="preserve"/>
        </is>
      </c>
      <c r="L734" s="9" t="str">
        <f>HYPERLINK("https://arena.olimpiici.com/#/catalog/850/problem/102277","open problem")</f>
        <v>open problem</v>
      </c>
    </row>
    <row r="735">
      <c r="A735" s="2" t="inlineStr">
        <is>
          <t xml:space="preserve">mob</t>
        </is>
      </c>
      <c r="B735" s="2" t="inlineStr">
        <is>
          <t xml:space="preserve">Winter tournament</t>
        </is>
      </c>
      <c r="C735" s="8" t="inlineStr">
        <is>
          <t xml:space="preserve">D</t>
        </is>
      </c>
      <c r="D735" s="8">
        <v>2008</v>
      </c>
      <c r="E735" s="5">
        <v>3</v>
      </c>
      <c r="F735" s="2" t="inlineStr">
        <is>
          <t xml:space="preserve">Medium</t>
        </is>
      </c>
      <c r="G735" s="2" t="inlineStr">
        <is>
          <t xml:space="preserve">Number theory</t>
        </is>
      </c>
      <c r="H735" s="2" t="inlineStr">
        <is>
          <t xml:space="preserve">Math / Formula</t>
        </is>
      </c>
      <c r="I735" s="2" t="inlineStr">
        <is>
          <t xml:space="preserve">Arrays, Loops, Math</t>
        </is>
      </c>
      <c r="J735" s="2" t="inlineStr">
        <is>
          <t xml:space="preserve">Moebius function mu(n) for every n in [a,b] via prime factorisation or sieve</t>
        </is>
      </c>
      <c r="K735" s="2" t="inlineStr">
        <is>
          <t xml:space="preserve"/>
        </is>
      </c>
      <c r="L735" s="9" t="str">
        <f>HYPERLINK("https://arena.olimpiici.com/#/catalog/850/problem/102278","open problem")</f>
        <v>open problem</v>
      </c>
    </row>
    <row r="736">
      <c r="A736" s="2" t="inlineStr">
        <is>
          <t xml:space="preserve">excess</t>
        </is>
      </c>
      <c r="B736" s="2" t="inlineStr">
        <is>
          <t xml:space="preserve">Winter tournament</t>
        </is>
      </c>
      <c r="C736" s="8" t="inlineStr">
        <is>
          <t xml:space="preserve">D</t>
        </is>
      </c>
      <c r="D736" s="8">
        <v>2008</v>
      </c>
      <c r="E736" s="4">
        <v>2</v>
      </c>
      <c r="F736" s="2" t="inlineStr">
        <is>
          <t xml:space="preserve">Easy</t>
        </is>
      </c>
      <c r="G736" s="2" t="inlineStr">
        <is>
          <t xml:space="preserve">Counting / Frequency arrays</t>
        </is>
      </c>
      <c r="H736" s="2" t="inlineStr">
        <is>
          <t xml:space="preserve">Hashing / Maps</t>
        </is>
      </c>
      <c r="I736" s="2" t="inlineStr">
        <is>
          <t xml:space="preserve">Counting array, Arrays, Loops</t>
        </is>
      </c>
      <c r="J736" s="2" t="inlineStr">
        <is>
          <t xml:space="preserve">Count values occurring fewer than K times in the received message</t>
        </is>
      </c>
      <c r="K736" s="2" t="inlineStr">
        <is>
          <t xml:space="preserve"/>
        </is>
      </c>
      <c r="L736" s="9" t="str">
        <f>HYPERLINK("https://arena.olimpiici.com/#/catalog/850/problem/102279","open problem")</f>
        <v>open problem</v>
      </c>
    </row>
    <row r="737">
      <c r="A737" s="2" t="inlineStr">
        <is>
          <t xml:space="preserve">box</t>
        </is>
      </c>
      <c r="B737" s="2" t="inlineStr">
        <is>
          <t xml:space="preserve">Winter tournament</t>
        </is>
      </c>
      <c r="C737" s="8" t="inlineStr">
        <is>
          <t xml:space="preserve">D</t>
        </is>
      </c>
      <c r="D737" s="8">
        <v>2009</v>
      </c>
      <c r="E737" s="4">
        <v>2</v>
      </c>
      <c r="F737" s="2" t="inlineStr">
        <is>
          <t xml:space="preserve">Easy</t>
        </is>
      </c>
      <c r="G737" s="2" t="inlineStr">
        <is>
          <t xml:space="preserve">Combinatorics</t>
        </is>
      </c>
      <c r="H737" s="2" t="inlineStr">
        <is>
          <t xml:space="preserve">Math / Formula</t>
        </is>
      </c>
      <c r="I737" s="2" t="inlineStr">
        <is>
          <t xml:space="preserve">Math, Long long, Loops</t>
        </is>
      </c>
      <c r="J737" s="2" t="inlineStr">
        <is>
          <t xml:space="preserve">Compositions of N into three positive parts: C(N-1,2)</t>
        </is>
      </c>
      <c r="K737" s="2" t="inlineStr">
        <is>
          <t xml:space="preserve"/>
        </is>
      </c>
      <c r="L737" s="9" t="str">
        <f>HYPERLINK("https://arena.olimpiici.com/#/catalog/327/problem/100913","open problem")</f>
        <v>open problem</v>
      </c>
    </row>
    <row r="738">
      <c r="A738" s="2" t="inlineStr">
        <is>
          <t xml:space="preserve">digits</t>
        </is>
      </c>
      <c r="B738" s="2" t="inlineStr">
        <is>
          <t xml:space="preserve">Winter tournament</t>
        </is>
      </c>
      <c r="C738" s="8" t="inlineStr">
        <is>
          <t xml:space="preserve">D</t>
        </is>
      </c>
      <c r="D738" s="8">
        <v>2009</v>
      </c>
      <c r="E738" s="4">
        <v>2</v>
      </c>
      <c r="F738" s="2" t="inlineStr">
        <is>
          <t xml:space="preserve">Easy</t>
        </is>
      </c>
      <c r="G738" s="2" t="inlineStr">
        <is>
          <t xml:space="preserve">Sorting</t>
        </is>
      </c>
      <c r="H738" s="2" t="inlineStr">
        <is>
          <t xml:space="preserve">Counting / Frequency arrays</t>
        </is>
      </c>
      <c r="I738" s="2" t="inlineStr">
        <is>
          <t xml:space="preserve">Counting array, Sorting, Strings</t>
        </is>
      </c>
      <c r="J738" s="2" t="inlineStr">
        <is>
          <t xml:space="preserve">Compute each digit's weight, then sort digit groups by weight and value</t>
        </is>
      </c>
      <c r="K738" s="2" t="inlineStr">
        <is>
          <t xml:space="preserve"/>
        </is>
      </c>
      <c r="L738" s="9" t="str">
        <f>HYPERLINK("https://arena.olimpiici.com/#/catalog/327/problem/100914","open problem")</f>
        <v>open problem</v>
      </c>
    </row>
    <row r="739">
      <c r="A739" s="2" t="inlineStr">
        <is>
          <t xml:space="preserve">shisho</t>
        </is>
      </c>
      <c r="B739" s="2" t="inlineStr">
        <is>
          <t xml:space="preserve">Winter tournament</t>
        </is>
      </c>
      <c r="C739" s="8" t="inlineStr">
        <is>
          <t xml:space="preserve">D</t>
        </is>
      </c>
      <c r="D739" s="8">
        <v>2009</v>
      </c>
      <c r="E739" s="4">
        <v>2</v>
      </c>
      <c r="F739" s="2" t="inlineStr">
        <is>
          <t xml:space="preserve">Easy</t>
        </is>
      </c>
      <c r="G739" s="2" t="inlineStr">
        <is>
          <t xml:space="preserve">Number theory</t>
        </is>
      </c>
      <c r="H739" s="2" t="inlineStr">
        <is>
          <t xml:space="preserve">Implementation / Simulation</t>
        </is>
      </c>
      <c r="I739" s="2" t="inlineStr">
        <is>
          <t xml:space="preserve">Arrays, Loops, Math</t>
        </is>
      </c>
      <c r="J739" s="2" t="inlineStr">
        <is>
          <t xml:space="preserve">Reverse each 4-digit plate and test primality with a small sieve</t>
        </is>
      </c>
      <c r="K739" s="2" t="inlineStr">
        <is>
          <t xml:space="preserve">Математика / Решето на Ератостен</t>
        </is>
      </c>
      <c r="L739" s="9" t="str">
        <f>HYPERLINK("https://arena.olimpiici.com/#/catalog/327/problem/100915","open problem")</f>
        <v>open problem</v>
      </c>
    </row>
    <row r="740">
      <c r="A740" s="2" t="inlineStr">
        <is>
          <t xml:space="preserve">warehouse</t>
        </is>
      </c>
      <c r="B740" s="2" t="inlineStr">
        <is>
          <t xml:space="preserve">Winter tournament</t>
        </is>
      </c>
      <c r="C740" s="8" t="inlineStr">
        <is>
          <t xml:space="preserve">D</t>
        </is>
      </c>
      <c r="D740" s="8">
        <v>2010</v>
      </c>
      <c r="E740" s="5">
        <v>3</v>
      </c>
      <c r="F740" s="2" t="inlineStr">
        <is>
          <t xml:space="preserve">Medium</t>
        </is>
      </c>
      <c r="G740" s="2" t="inlineStr">
        <is>
          <t xml:space="preserve">Grid/Matrix</t>
        </is>
      </c>
      <c r="H740" s="2" t="inlineStr">
        <is>
          <t xml:space="preserve">Implementation / Simulation</t>
        </is>
      </c>
      <c r="I740" s="2" t="inlineStr">
        <is>
          <t xml:space="preserve">2D arrays, Grid/Matrix, Loops</t>
        </is>
      </c>
      <c r="J740" s="2" t="inlineStr">
        <is>
          <t xml:space="preserve">Check each row and column of the warehouse map for a fully free corridor</t>
        </is>
      </c>
      <c r="K740" s="2" t="inlineStr">
        <is>
          <t xml:space="preserve"/>
        </is>
      </c>
      <c r="L740" s="9" t="str">
        <f>HYPERLINK("https://arena.olimpiici.com/#/catalog/333/problem/100928","open problem")</f>
        <v>open problem</v>
      </c>
    </row>
    <row r="741">
      <c r="A741" s="2" t="inlineStr">
        <is>
          <t xml:space="preserve">treasure</t>
        </is>
      </c>
      <c r="B741" s="2" t="inlineStr">
        <is>
          <t xml:space="preserve">Winter tournament</t>
        </is>
      </c>
      <c r="C741" s="8" t="inlineStr">
        <is>
          <t xml:space="preserve">D</t>
        </is>
      </c>
      <c r="D741" s="8">
        <v>2010</v>
      </c>
      <c r="E741" s="4">
        <v>2</v>
      </c>
      <c r="F741" s="2" t="inlineStr">
        <is>
          <t xml:space="preserve">Easy</t>
        </is>
      </c>
      <c r="G741" s="2" t="inlineStr">
        <is>
          <t xml:space="preserve">Number theory</t>
        </is>
      </c>
      <c r="H741" s="2" t="inlineStr">
        <is>
          <t xml:space="preserve">Math / Formula</t>
        </is>
      </c>
      <c r="I741" s="2" t="inlineStr">
        <is>
          <t xml:space="preserve">Math, Long long</t>
        </is>
      </c>
      <c r="J741" s="2" t="inlineStr">
        <is>
          <t xml:space="preserve">k*a divisible by b happens every b/gcd(a,b) days</t>
        </is>
      </c>
      <c r="K741" s="2" t="inlineStr">
        <is>
          <t xml:space="preserve"/>
        </is>
      </c>
      <c r="L741" s="9" t="str">
        <f>HYPERLINK("https://arena.olimpiici.com/#/catalog/333/problem/100929","open problem")</f>
        <v>open problem</v>
      </c>
    </row>
    <row r="742">
      <c r="A742" s="2" t="inlineStr">
        <is>
          <t xml:space="preserve">balls</t>
        </is>
      </c>
      <c r="B742" s="2" t="inlineStr">
        <is>
          <t xml:space="preserve">Winter tournament</t>
        </is>
      </c>
      <c r="C742" s="8" t="inlineStr">
        <is>
          <t xml:space="preserve">D</t>
        </is>
      </c>
      <c r="D742" s="8">
        <v>2010</v>
      </c>
      <c r="E742" s="5">
        <v>3</v>
      </c>
      <c r="F742" s="2" t="inlineStr">
        <is>
          <t xml:space="preserve">Medium</t>
        </is>
      </c>
      <c r="G742" s="2" t="inlineStr">
        <is>
          <t xml:space="preserve">Data structures</t>
        </is>
      </c>
      <c r="H742" s="2" t="inlineStr">
        <is>
          <t xml:space="preserve">Implementation / Simulation</t>
        </is>
      </c>
      <c r="I742" s="2" t="inlineStr">
        <is>
          <t xml:space="preserve">Stacks, Arrays, Loops</t>
        </is>
      </c>
      <c r="J742" s="2" t="inlineStr">
        <is>
          <t xml:space="preserve">Simulate the A-&gt;B-&gt;C pipe commands (a stack) and track the black ball</t>
        </is>
      </c>
      <c r="K742" s="2" t="inlineStr">
        <is>
          <t xml:space="preserve"/>
        </is>
      </c>
      <c r="L742" s="9" t="str">
        <f>HYPERLINK("https://arena.olimpiici.com/#/catalog/333/problem/100930","open problem")</f>
        <v>open problem</v>
      </c>
    </row>
    <row r="743">
      <c r="A743" s="2" t="inlineStr">
        <is>
          <t xml:space="preserve">dig</t>
        </is>
      </c>
      <c r="B743" s="2" t="inlineStr">
        <is>
          <t xml:space="preserve">Winter tournament</t>
        </is>
      </c>
      <c r="C743" s="8" t="inlineStr">
        <is>
          <t xml:space="preserve">D</t>
        </is>
      </c>
      <c r="D743" s="8">
        <v>2011</v>
      </c>
      <c r="E743" s="5">
        <v>3</v>
      </c>
      <c r="F743" s="2" t="inlineStr">
        <is>
          <t xml:space="preserve">Medium</t>
        </is>
      </c>
      <c r="G743" s="2" t="inlineStr">
        <is>
          <t xml:space="preserve">Implementation / Simulation</t>
        </is>
      </c>
      <c r="H743" s="2" t="inlineStr">
        <is>
          <t xml:space="preserve">Bit manipulation</t>
        </is>
      </c>
      <c r="I743" s="2" t="inlineStr">
        <is>
          <t xml:space="preserve">Arrays, Bitmask, Loops</t>
        </is>
      </c>
      <c r="J743" s="2" t="inlineStr">
        <is>
          <t xml:space="preserve">Seven-segment masks of each digit; count matchsticks that must be moved</t>
        </is>
      </c>
      <c r="K743" s="2" t="inlineStr">
        <is>
          <t xml:space="preserve"/>
        </is>
      </c>
      <c r="L743" s="9" t="str">
        <f>HYPERLINK("https://arena.olimpiici.com/#/catalog/339/problem/100944","open problem")</f>
        <v>open problem</v>
      </c>
    </row>
    <row r="744">
      <c r="A744" s="2" t="inlineStr">
        <is>
          <t xml:space="preserve">game</t>
        </is>
      </c>
      <c r="B744" s="2" t="inlineStr">
        <is>
          <t xml:space="preserve">Winter tournament</t>
        </is>
      </c>
      <c r="C744" s="8" t="inlineStr">
        <is>
          <t xml:space="preserve">D</t>
        </is>
      </c>
      <c r="D744" s="8">
        <v>2011</v>
      </c>
      <c r="E744" s="5">
        <v>3</v>
      </c>
      <c r="F744" s="2" t="inlineStr">
        <is>
          <t xml:space="preserve">Medium</t>
        </is>
      </c>
      <c r="G744" s="2" t="inlineStr">
        <is>
          <t xml:space="preserve">Number theory</t>
        </is>
      </c>
      <c r="H744" s="2" t="inlineStr">
        <is>
          <t xml:space="preserve">Math / Formula</t>
        </is>
      </c>
      <c r="I744" s="2" t="inlineStr">
        <is>
          <t xml:space="preserve">Math, Long long, Loops</t>
        </is>
      </c>
      <c r="J744" s="2" t="inlineStr">
        <is>
          <t xml:space="preserve">Ball reaches everyone exactly when gcd(N,K)=1; take the largest such K &lt;= N/2</t>
        </is>
      </c>
      <c r="K744" s="2" t="inlineStr">
        <is>
          <t xml:space="preserve"/>
        </is>
      </c>
      <c r="L744" s="9" t="str">
        <f>HYPERLINK("https://arena.olimpiici.com/#/catalog/339/problem/100945","open problem")</f>
        <v>open problem</v>
      </c>
    </row>
    <row r="745">
      <c r="A745" s="2" t="inlineStr">
        <is>
          <t xml:space="preserve">topscore</t>
        </is>
      </c>
      <c r="B745" s="2" t="inlineStr">
        <is>
          <t xml:space="preserve">Winter tournament</t>
        </is>
      </c>
      <c r="C745" s="8" t="inlineStr">
        <is>
          <t xml:space="preserve">D</t>
        </is>
      </c>
      <c r="D745" s="8">
        <v>2011</v>
      </c>
      <c r="E745" s="4">
        <v>2</v>
      </c>
      <c r="F745" s="2" t="inlineStr">
        <is>
          <t xml:space="preserve">Easy</t>
        </is>
      </c>
      <c r="G745" s="2" t="inlineStr">
        <is>
          <t xml:space="preserve">Grid/Matrix</t>
        </is>
      </c>
      <c r="H745" s="2" t="inlineStr">
        <is>
          <t xml:space="preserve">Implementation / Simulation</t>
        </is>
      </c>
      <c r="I745" s="2" t="inlineStr">
        <is>
          <t xml:space="preserve">2D arrays, Loops, Arrays</t>
        </is>
      </c>
      <c r="J745" s="2" t="inlineStr">
        <is>
          <t xml:space="preserve">Row minima that are also column maxima, reported as (contestant, contest)</t>
        </is>
      </c>
      <c r="K745" s="2" t="inlineStr">
        <is>
          <t xml:space="preserve"/>
        </is>
      </c>
      <c r="L745" s="9" t="str">
        <f>HYPERLINK("https://arena.olimpiici.com/#/catalog/339/problem/100946","open problem")</f>
        <v>open problem</v>
      </c>
    </row>
    <row r="746">
      <c r="A746" s="2" t="inlineStr">
        <is>
          <t xml:space="preserve">clock</t>
        </is>
      </c>
      <c r="B746" s="2" t="inlineStr">
        <is>
          <t xml:space="preserve">Winter tournament</t>
        </is>
      </c>
      <c r="C746" s="8" t="inlineStr">
        <is>
          <t xml:space="preserve">D</t>
        </is>
      </c>
      <c r="D746" s="8">
        <v>2012</v>
      </c>
      <c r="E746" s="5">
        <v>3</v>
      </c>
      <c r="F746" s="2" t="inlineStr">
        <is>
          <t xml:space="preserve">Medium</t>
        </is>
      </c>
      <c r="G746" s="2" t="inlineStr">
        <is>
          <t xml:space="preserve">Implementation / Simulation</t>
        </is>
      </c>
      <c r="H746" s="2" t="inlineStr">
        <is>
          <t xml:space="preserve">Sorting</t>
        </is>
      </c>
      <c r="I746" s="2" t="inlineStr">
        <is>
          <t xml:space="preserve">Dates, Arrays, Math</t>
        </is>
      </c>
      <c r="J746" s="2" t="inlineStr">
        <is>
          <t xml:space="preserve">Convert every alarm to minutes-from-now modulo the week, take the smallest</t>
        </is>
      </c>
      <c r="K746" s="2" t="inlineStr">
        <is>
          <t xml:space="preserve"/>
        </is>
      </c>
      <c r="L746" s="9" t="str">
        <f>HYPERLINK("https://arena.olimpiici.com/#/catalog/345/problem/100959","open problem")</f>
        <v>open problem</v>
      </c>
    </row>
    <row r="747">
      <c r="A747" s="2" t="inlineStr">
        <is>
          <t xml:space="preserve">programmer</t>
        </is>
      </c>
      <c r="B747" s="2" t="inlineStr">
        <is>
          <t xml:space="preserve">Winter tournament</t>
        </is>
      </c>
      <c r="C747" s="8" t="inlineStr">
        <is>
          <t xml:space="preserve">D</t>
        </is>
      </c>
      <c r="D747" s="8">
        <v>2012</v>
      </c>
      <c r="E747" s="6">
        <v>4</v>
      </c>
      <c r="F747" s="2" t="inlineStr">
        <is>
          <t xml:space="preserve">Hard</t>
        </is>
      </c>
      <c r="G747" s="2" t="inlineStr">
        <is>
          <t xml:space="preserve">Number theory</t>
        </is>
      </c>
      <c r="H747" s="2" t="inlineStr">
        <is>
          <t xml:space="preserve">Math / Formula</t>
        </is>
      </c>
      <c r="I747" s="2" t="inlineStr">
        <is>
          <t xml:space="preserve">Long long, Math, Loops</t>
        </is>
      </c>
      <c r="J747" s="2" t="inlineStr">
        <is>
          <t xml:space="preserve">Sum of N/i for i&lt;=10^9 using the divisor-block (sqrt decomposition) trick</t>
        </is>
      </c>
      <c r="K747" s="2" t="inlineStr">
        <is>
          <t xml:space="preserve"/>
        </is>
      </c>
      <c r="L747" s="9" t="str">
        <f>HYPERLINK("https://arena.olimpiici.com/#/catalog/345/problem/100960","open problem")</f>
        <v>open problem</v>
      </c>
    </row>
    <row r="748">
      <c r="A748" s="2" t="inlineStr">
        <is>
          <t xml:space="preserve">rectangle</t>
        </is>
      </c>
      <c r="B748" s="2" t="inlineStr">
        <is>
          <t xml:space="preserve">Winter tournament</t>
        </is>
      </c>
      <c r="C748" s="8" t="inlineStr">
        <is>
          <t xml:space="preserve">D</t>
        </is>
      </c>
      <c r="D748" s="8">
        <v>2012</v>
      </c>
      <c r="E748" s="5">
        <v>3</v>
      </c>
      <c r="F748" s="2" t="inlineStr">
        <is>
          <t xml:space="preserve">Medium</t>
        </is>
      </c>
      <c r="G748" s="2" t="inlineStr">
        <is>
          <t xml:space="preserve">Grid/Matrix</t>
        </is>
      </c>
      <c r="H748" s="2" t="inlineStr">
        <is>
          <t xml:space="preserve">Counting / Frequency arrays</t>
        </is>
      </c>
      <c r="I748" s="2" t="inlineStr">
        <is>
          <t xml:space="preserve">2D arrays, Grid/Matrix, Loops</t>
        </is>
      </c>
      <c r="J748" s="2" t="inlineStr">
        <is>
          <t xml:space="preserve">A cut line exists where no domino crosses it; count rows, columns and pieces</t>
        </is>
      </c>
      <c r="K748" s="2" t="inlineStr">
        <is>
          <t xml:space="preserve">Двумерни и многомерни масиви; Динамично програмиране (Dynamic programming); Броене с масив (counting); Математика</t>
        </is>
      </c>
      <c r="L748" s="9" t="str">
        <f>HYPERLINK("https://arena.olimpiici.com/#/catalog/345/problem/100961","open problem")</f>
        <v>open problem</v>
      </c>
    </row>
    <row r="749">
      <c r="A749" s="2" t="inlineStr">
        <is>
          <t xml:space="preserve">angles</t>
        </is>
      </c>
      <c r="B749" s="2" t="inlineStr">
        <is>
          <t xml:space="preserve">Winter tournament</t>
        </is>
      </c>
      <c r="C749" s="8" t="inlineStr">
        <is>
          <t xml:space="preserve">D</t>
        </is>
      </c>
      <c r="D749" s="8">
        <v>2013</v>
      </c>
      <c r="E749" s="4">
        <v>2</v>
      </c>
      <c r="F749" s="2" t="inlineStr">
        <is>
          <t xml:space="preserve">Easy</t>
        </is>
      </c>
      <c r="G749" s="2" t="inlineStr">
        <is>
          <t xml:space="preserve">Implementation / Simulation</t>
        </is>
      </c>
      <c r="H749" s="2" t="inlineStr">
        <is>
          <t xml:space="preserve">Math / Formula</t>
        </is>
      </c>
      <c r="I749" s="2" t="inlineStr">
        <is>
          <t xml:space="preserve">Math, Loops, I/O parsing</t>
        </is>
      </c>
      <c r="J749" s="2" t="inlineStr">
        <is>
          <t xml:space="preserve">Degree-minute-second arithmetic with carrying, then halve the result</t>
        </is>
      </c>
      <c r="K749" s="2" t="inlineStr">
        <is>
          <t xml:space="preserve"/>
        </is>
      </c>
      <c r="L749" s="9" t="str">
        <f>HYPERLINK("https://arena.olimpiici.com/#/catalog/351/problem/100974","open problem")</f>
        <v>open problem</v>
      </c>
    </row>
    <row r="750">
      <c r="A750" s="2" t="inlineStr">
        <is>
          <t xml:space="preserve">conundrum</t>
        </is>
      </c>
      <c r="B750" s="2" t="inlineStr">
        <is>
          <t xml:space="preserve">Winter tournament</t>
        </is>
      </c>
      <c r="C750" s="8" t="inlineStr">
        <is>
          <t xml:space="preserve">D</t>
        </is>
      </c>
      <c r="D750" s="8">
        <v>2013</v>
      </c>
      <c r="E750" s="6">
        <v>4</v>
      </c>
      <c r="F750" s="2" t="inlineStr">
        <is>
          <t xml:space="preserve">Hard</t>
        </is>
      </c>
      <c r="G750" s="2" t="inlineStr">
        <is>
          <t xml:space="preserve">Recursion / Backtracking</t>
        </is>
      </c>
      <c r="H750" s="2" t="inlineStr">
        <is>
          <t xml:space="preserve">Grid/Matrix</t>
        </is>
      </c>
      <c r="I750" s="2" t="inlineStr">
        <is>
          <t xml:space="preserve">2D arrays, Recursion, Strings</t>
        </is>
      </c>
      <c r="J750" s="2" t="inlineStr">
        <is>
          <t xml:space="preserve">DFS each keyword through adjacent cells, cross it out, print the leftovers</t>
        </is>
      </c>
      <c r="K750" s="2" t="inlineStr">
        <is>
          <t xml:space="preserve">Двумерни и многомерни масиви; Броене с масив (counting); Предварителна обработка (precomputing)</t>
        </is>
      </c>
      <c r="L750" s="9" t="str">
        <f>HYPERLINK("https://arena.olimpiici.com/#/catalog/351/problem/100975","open problem")</f>
        <v>open problem</v>
      </c>
    </row>
    <row r="751">
      <c r="A751" s="2" t="inlineStr">
        <is>
          <t xml:space="preserve">park</t>
        </is>
      </c>
      <c r="B751" s="2" t="inlineStr">
        <is>
          <t xml:space="preserve">Winter tournament</t>
        </is>
      </c>
      <c r="C751" s="8" t="inlineStr">
        <is>
          <t xml:space="preserve">D</t>
        </is>
      </c>
      <c r="D751" s="8">
        <v>2013</v>
      </c>
      <c r="E751" s="6">
        <v>4</v>
      </c>
      <c r="F751" s="2" t="inlineStr">
        <is>
          <t xml:space="preserve">Hard</t>
        </is>
      </c>
      <c r="G751" s="2" t="inlineStr">
        <is>
          <t xml:space="preserve">Dynamic programming</t>
        </is>
      </c>
      <c r="H751" s="2" t="inlineStr">
        <is>
          <t xml:space="preserve">Grid/Matrix</t>
        </is>
      </c>
      <c r="I751" s="2" t="inlineStr">
        <is>
          <t xml:space="preserve">2D arrays, Stacks, Grid/Matrix</t>
        </is>
      </c>
      <c r="J751" s="2" t="inlineStr">
        <is>
          <t xml:space="preserve">Largest all-zero rectangle via per-row histograms and a monotonic stack</t>
        </is>
      </c>
      <c r="K751" s="2" t="inlineStr">
        <is>
          <t xml:space="preserve">Двумерни и многомерни масиви</t>
        </is>
      </c>
      <c r="L751" s="9" t="str">
        <f>HYPERLINK("https://arena.olimpiici.com/#/catalog/351/problem/100976","open problem")</f>
        <v>open problem</v>
      </c>
    </row>
    <row r="752">
      <c r="A752" s="2" t="inlineStr">
        <is>
          <t xml:space="preserve">line</t>
        </is>
      </c>
      <c r="B752" s="2" t="inlineStr">
        <is>
          <t xml:space="preserve">Winter tournament</t>
        </is>
      </c>
      <c r="C752" s="8" t="inlineStr">
        <is>
          <t xml:space="preserve">D</t>
        </is>
      </c>
      <c r="D752" s="8">
        <v>2014</v>
      </c>
      <c r="E752" s="5">
        <v>3</v>
      </c>
      <c r="F752" s="2" t="inlineStr">
        <is>
          <t xml:space="preserve">Medium</t>
        </is>
      </c>
      <c r="G752" s="2" t="inlineStr">
        <is>
          <t xml:space="preserve">Math / Formula</t>
        </is>
      </c>
      <c r="H752" s="2" t="inlineStr">
        <is>
          <t xml:space="preserve">Number theory</t>
        </is>
      </c>
      <c r="I752" s="2" t="inlineStr">
        <is>
          <t xml:space="preserve">Math, Long long, Loops</t>
        </is>
      </c>
      <c r="J752" s="2" t="inlineStr">
        <is>
          <t xml:space="preserve">Diagonal billiard bounces follow from lcm(N-1,M-1); no need to simulate</t>
        </is>
      </c>
      <c r="K752" s="2" t="inlineStr">
        <is>
          <t xml:space="preserve">Двумерни и многомерни масиви; Моделиране</t>
        </is>
      </c>
      <c r="L752" s="9" t="str">
        <f>HYPERLINK("https://arena.olimpiici.com/#/catalog/357/problem/100989","open problem")</f>
        <v>open problem</v>
      </c>
    </row>
    <row r="753">
      <c r="A753" s="2" t="inlineStr">
        <is>
          <t xml:space="preserve">monitors</t>
        </is>
      </c>
      <c r="B753" s="2" t="inlineStr">
        <is>
          <t xml:space="preserve">Winter tournament</t>
        </is>
      </c>
      <c r="C753" s="8" t="inlineStr">
        <is>
          <t xml:space="preserve">D</t>
        </is>
      </c>
      <c r="D753" s="8">
        <v>2014</v>
      </c>
      <c r="E753" s="4">
        <v>2</v>
      </c>
      <c r="F753" s="2" t="inlineStr">
        <is>
          <t xml:space="preserve">Easy</t>
        </is>
      </c>
      <c r="G753" s="2" t="inlineStr">
        <is>
          <t xml:space="preserve">Sorting</t>
        </is>
      </c>
      <c r="H753" s="2" t="inlineStr">
        <is>
          <t xml:space="preserve">Hashing / Maps</t>
        </is>
      </c>
      <c r="I753" s="2" t="inlineStr">
        <is>
          <t xml:space="preserve">Sorting, Maps, Long long</t>
        </is>
      </c>
      <c r="J753" s="2" t="inlineStr">
        <is>
          <t xml:space="preserve">Group monitors by vertical resolution, take the largest total width</t>
        </is>
      </c>
      <c r="K753" s="2" t="inlineStr">
        <is>
          <t xml:space="preserve">Сортиране (sorting); STL / pair; Разделяне на последователности</t>
        </is>
      </c>
      <c r="L753" s="9" t="str">
        <f>HYPERLINK("https://arena.olimpiici.com/#/catalog/357/problem/100990","open problem")</f>
        <v>open problem</v>
      </c>
    </row>
    <row r="754">
      <c r="A754" s="2" t="inlineStr">
        <is>
          <t xml:space="preserve">students</t>
        </is>
      </c>
      <c r="B754" s="2" t="inlineStr">
        <is>
          <t xml:space="preserve">Winter tournament</t>
        </is>
      </c>
      <c r="C754" s="8" t="inlineStr">
        <is>
          <t xml:space="preserve">D</t>
        </is>
      </c>
      <c r="D754" s="8">
        <v>2014</v>
      </c>
      <c r="E754" s="5">
        <v>3</v>
      </c>
      <c r="F754" s="2" t="inlineStr">
        <is>
          <t xml:space="preserve">Medium</t>
        </is>
      </c>
      <c r="G754" s="2" t="inlineStr">
        <is>
          <t xml:space="preserve">Counting / Frequency arrays</t>
        </is>
      </c>
      <c r="H754" s="2" t="inlineStr">
        <is>
          <t xml:space="preserve">Ad hoc / Observation</t>
        </is>
      </c>
      <c r="I754" s="2" t="inlineStr">
        <is>
          <t xml:space="preserve">Counting array, Arrays, Math</t>
        </is>
      </c>
      <c r="J754" s="2" t="inlineStr">
        <is>
          <t xml:space="preserve">Each wish votes for one rotation offset; pick the most popular offset</t>
        </is>
      </c>
      <c r="K754" s="2" t="inlineStr">
        <is>
          <t xml:space="preserve">Броене с масив (counting)</t>
        </is>
      </c>
      <c r="L754" s="9" t="str">
        <f>HYPERLINK("https://arena.olimpiici.com/#/catalog/357/problem/100991","open problem")</f>
        <v>open problem</v>
      </c>
    </row>
    <row r="755">
      <c r="A755" s="2" t="inlineStr">
        <is>
          <t xml:space="preserve">binary</t>
        </is>
      </c>
      <c r="B755" s="2" t="inlineStr">
        <is>
          <t xml:space="preserve">Winter tournament</t>
        </is>
      </c>
      <c r="C755" s="8" t="inlineStr">
        <is>
          <t xml:space="preserve">D</t>
        </is>
      </c>
      <c r="D755" s="8">
        <v>2015</v>
      </c>
      <c r="E755" s="6">
        <v>4</v>
      </c>
      <c r="F755" s="2" t="inlineStr">
        <is>
          <t xml:space="preserve">Hard</t>
        </is>
      </c>
      <c r="G755" s="2" t="inlineStr">
        <is>
          <t xml:space="preserve">Math / Formula</t>
        </is>
      </c>
      <c r="H755" s="2" t="inlineStr">
        <is>
          <t xml:space="preserve">Number theory</t>
        </is>
      </c>
      <c r="I755" s="2" t="inlineStr">
        <is>
          <t xml:space="preserve">Long long, Bitmask, Math</t>
        </is>
      </c>
      <c r="J755" s="2" t="inlineStr">
        <is>
          <t xml:space="preserve">Count binary digits per length block to locate position p up to 10^16</t>
        </is>
      </c>
      <c r="K755" s="2" t="inlineStr">
        <is>
          <t xml:space="preserve">Математика / Бройни системи</t>
        </is>
      </c>
      <c r="L755" s="9" t="str">
        <f>HYPERLINK("https://arena.olimpiici.com/#/catalog/363/problem/101004","open problem")</f>
        <v>open problem</v>
      </c>
    </row>
    <row r="756">
      <c r="A756" s="2" t="inlineStr">
        <is>
          <t xml:space="preserve">luggage</t>
        </is>
      </c>
      <c r="B756" s="2" t="inlineStr">
        <is>
          <t xml:space="preserve">Winter tournament</t>
        </is>
      </c>
      <c r="C756" s="8" t="inlineStr">
        <is>
          <t xml:space="preserve">D</t>
        </is>
      </c>
      <c r="D756" s="8">
        <v>2015</v>
      </c>
      <c r="E756" s="5">
        <v>3</v>
      </c>
      <c r="F756" s="2" t="inlineStr">
        <is>
          <t xml:space="preserve">Medium</t>
        </is>
      </c>
      <c r="G756" s="2" t="inlineStr">
        <is>
          <t xml:space="preserve">Dynamic programming</t>
        </is>
      </c>
      <c r="H756" s="2" t="inlineStr">
        <is>
          <t xml:space="preserve">Greedy</t>
        </is>
      </c>
      <c r="I756" s="2" t="inlineStr">
        <is>
          <t xml:space="preserve">Arrays, Loops, Counting array</t>
        </is>
      </c>
      <c r="J756" s="2" t="inlineStr">
        <is>
          <t xml:space="preserve">Coin-change DP for the minimum number of containers summing exactly to S</t>
        </is>
      </c>
      <c r="K756" s="2" t="inlineStr">
        <is>
          <t xml:space="preserve">Динамично програмиране (Dynamic programming)</t>
        </is>
      </c>
      <c r="L756" s="9" t="str">
        <f>HYPERLINK("https://arena.olimpiici.com/#/catalog/363/problem/101005","open problem")</f>
        <v>open problem</v>
      </c>
    </row>
    <row r="757">
      <c r="A757" s="2" t="inlineStr">
        <is>
          <t xml:space="preserve">pots</t>
        </is>
      </c>
      <c r="B757" s="2" t="inlineStr">
        <is>
          <t xml:space="preserve">Winter tournament</t>
        </is>
      </c>
      <c r="C757" s="8" t="inlineStr">
        <is>
          <t xml:space="preserve">D</t>
        </is>
      </c>
      <c r="D757" s="8">
        <v>2015</v>
      </c>
      <c r="E757" s="4">
        <v>2</v>
      </c>
      <c r="F757" s="2" t="inlineStr">
        <is>
          <t xml:space="preserve">Easy</t>
        </is>
      </c>
      <c r="G757" s="2" t="inlineStr">
        <is>
          <t xml:space="preserve">Greedy</t>
        </is>
      </c>
      <c r="H757" s="2" t="inlineStr">
        <is>
          <t xml:space="preserve">Sorting</t>
        </is>
      </c>
      <c r="I757" s="2" t="inlineStr">
        <is>
          <t xml:space="preserve">Sorting, Two pointers, Counting array</t>
        </is>
      </c>
      <c r="J757" s="2" t="inlineStr">
        <is>
          <t xml:space="preserve">Sort pans and lids, match greedily with two pointers</t>
        </is>
      </c>
      <c r="K757" s="2" t="inlineStr">
        <is>
          <t xml:space="preserve">Сортиране (sorting); Сортиране с броене (counting sort); Метод на показалките / 2-pointers</t>
        </is>
      </c>
      <c r="L757" s="9" t="str">
        <f>HYPERLINK("https://arena.olimpiici.com/#/catalog/363/problem/101006","open problem")</f>
        <v>open problem</v>
      </c>
    </row>
    <row r="758">
      <c r="A758" s="2" t="inlineStr">
        <is>
          <t xml:space="preserve">monument</t>
        </is>
      </c>
      <c r="B758" s="2" t="inlineStr">
        <is>
          <t xml:space="preserve">Winter tournament</t>
        </is>
      </c>
      <c r="C758" s="8" t="inlineStr">
        <is>
          <t xml:space="preserve">D</t>
        </is>
      </c>
      <c r="D758" s="8">
        <v>2016</v>
      </c>
      <c r="E758" s="4">
        <v>2</v>
      </c>
      <c r="F758" s="2" t="inlineStr">
        <is>
          <t xml:space="preserve">Easy</t>
        </is>
      </c>
      <c r="G758" s="2" t="inlineStr">
        <is>
          <t xml:space="preserve">Two pointers / Sliding window</t>
        </is>
      </c>
      <c r="H758" s="2" t="inlineStr">
        <is>
          <t xml:space="preserve">Binary search</t>
        </is>
      </c>
      <c r="I758" s="2" t="inlineStr">
        <is>
          <t xml:space="preserve">Two pointers, Arrays, Long long</t>
        </is>
      </c>
      <c r="J758" s="2" t="inlineStr">
        <is>
          <t xml:space="preserve">For each monument count how many lie farther than r using a moving pointer</t>
        </is>
      </c>
      <c r="K758" s="2" t="inlineStr">
        <is>
          <t xml:space="preserve">Метод на показалките / 2-pointers</t>
        </is>
      </c>
      <c r="L758" s="9" t="str">
        <f>HYPERLINK("https://arena.olimpiici.com/#/catalog/369/problem/101019","open problem")</f>
        <v>open problem</v>
      </c>
    </row>
    <row r="759">
      <c r="A759" s="2" t="inlineStr">
        <is>
          <t xml:space="preserve">alarm</t>
        </is>
      </c>
      <c r="B759" s="2" t="inlineStr">
        <is>
          <t xml:space="preserve">Winter tournament</t>
        </is>
      </c>
      <c r="C759" s="8" t="inlineStr">
        <is>
          <t xml:space="preserve">D</t>
        </is>
      </c>
      <c r="D759" s="8">
        <v>2016</v>
      </c>
      <c r="E759" s="6">
        <v>4</v>
      </c>
      <c r="F759" s="2" t="inlineStr">
        <is>
          <t xml:space="preserve">Hard</t>
        </is>
      </c>
      <c r="G759" s="2" t="inlineStr">
        <is>
          <t xml:space="preserve">Recursion / Backtracking</t>
        </is>
      </c>
      <c r="H759" s="2" t="inlineStr">
        <is>
          <t xml:space="preserve">Dynamic programming</t>
        </is>
      </c>
      <c r="I759" s="2" t="inlineStr">
        <is>
          <t xml:space="preserve">Recursion, Arrays, Grid/Matrix</t>
        </is>
      </c>
      <c r="J759" s="2" t="inlineStr">
        <is>
          <t xml:space="preserve">Travelling-salesman over at most 9 alarms with Manhattan distances</t>
        </is>
      </c>
      <c r="K759" s="2" t="inlineStr">
        <is>
          <t xml:space="preserve">Рекурсия (recursion); Търсене с връщане (backtracking); Комбинаторика</t>
        </is>
      </c>
      <c r="L759" s="9" t="str">
        <f>HYPERLINK("https://arena.olimpiici.com/#/catalog/369/problem/101020","open problem")</f>
        <v>open problem</v>
      </c>
    </row>
    <row r="760">
      <c r="A760" s="2" t="inlineStr">
        <is>
          <t xml:space="preserve">sock</t>
        </is>
      </c>
      <c r="B760" s="2" t="inlineStr">
        <is>
          <t xml:space="preserve">Winter tournament</t>
        </is>
      </c>
      <c r="C760" s="8" t="inlineStr">
        <is>
          <t xml:space="preserve">D</t>
        </is>
      </c>
      <c r="D760" s="8">
        <v>2016</v>
      </c>
      <c r="E760" s="5">
        <v>3</v>
      </c>
      <c r="F760" s="2" t="inlineStr">
        <is>
          <t xml:space="preserve">Medium</t>
        </is>
      </c>
      <c r="G760" s="2" t="inlineStr">
        <is>
          <t xml:space="preserve">Sorting</t>
        </is>
      </c>
      <c r="H760" s="2" t="inlineStr">
        <is>
          <t xml:space="preserve">Combinatorics</t>
        </is>
      </c>
      <c r="I760" s="2" t="inlineStr">
        <is>
          <t xml:space="preserve">Sorting, Pairs, Vectors</t>
        </is>
      </c>
      <c r="J760" s="2" t="inlineStr">
        <is>
          <t xml:space="preserve">Generate all N(N-1)/2 pairs, sort by difference then by shorter sock</t>
        </is>
      </c>
      <c r="K760" s="2" t="inlineStr">
        <is>
          <t xml:space="preserve">Сортиране (sorting); STL / pair</t>
        </is>
      </c>
      <c r="L760" s="9" t="str">
        <f>HYPERLINK("https://arena.olimpiici.com/#/catalog/369/problem/101021","open problem")</f>
        <v>open problem</v>
      </c>
    </row>
    <row r="761">
      <c r="A761" s="2" t="inlineStr">
        <is>
          <t xml:space="preserve">worldclock</t>
        </is>
      </c>
      <c r="B761" s="2" t="inlineStr">
        <is>
          <t xml:space="preserve">Winter tournament</t>
        </is>
      </c>
      <c r="C761" s="8" t="inlineStr">
        <is>
          <t xml:space="preserve">D</t>
        </is>
      </c>
      <c r="D761" s="8">
        <v>2017</v>
      </c>
      <c r="E761" s="6">
        <v>4</v>
      </c>
      <c r="F761" s="2" t="inlineStr">
        <is>
          <t xml:space="preserve">Hard</t>
        </is>
      </c>
      <c r="G761" s="2" t="inlineStr">
        <is>
          <t xml:space="preserve">Implementation / Simulation</t>
        </is>
      </c>
      <c r="H761" s="2" t="inlineStr">
        <is>
          <t xml:space="preserve">Data structures</t>
        </is>
      </c>
      <c r="I761" s="2" t="inlineStr">
        <is>
          <t xml:space="preserve">Queues, Deque, Arrays</t>
        </is>
      </c>
      <c r="J761" s="2" t="inlineStr">
        <is>
          <t xml:space="preserve">Ball-clock simulation until the tray returns to its original order</t>
        </is>
      </c>
      <c r="K761" s="2" t="inlineStr">
        <is>
          <t xml:space="preserve"/>
        </is>
      </c>
      <c r="L761" s="9" t="str">
        <f>HYPERLINK("https://arena.olimpiici.com/#/catalog/375/problem/101034","open problem")</f>
        <v>open problem</v>
      </c>
    </row>
    <row r="762">
      <c r="A762" s="2" t="inlineStr">
        <is>
          <t xml:space="preserve">like</t>
        </is>
      </c>
      <c r="B762" s="2" t="inlineStr">
        <is>
          <t xml:space="preserve">Winter tournament</t>
        </is>
      </c>
      <c r="C762" s="8" t="inlineStr">
        <is>
          <t xml:space="preserve">D</t>
        </is>
      </c>
      <c r="D762" s="8">
        <v>2017</v>
      </c>
      <c r="E762" s="6">
        <v>4</v>
      </c>
      <c r="F762" s="2" t="inlineStr">
        <is>
          <t xml:space="preserve">Hard</t>
        </is>
      </c>
      <c r="G762" s="2" t="inlineStr">
        <is>
          <t xml:space="preserve">String processing</t>
        </is>
      </c>
      <c r="H762" s="2" t="inlineStr">
        <is>
          <t xml:space="preserve">Number theory</t>
        </is>
      </c>
      <c r="I762" s="2" t="inlineStr">
        <is>
          <t xml:space="preserve">Strings, Nested loops, Math</t>
        </is>
      </c>
      <c r="J762" s="2" t="inlineStr">
        <is>
          <t xml:space="preserve">Best letter match over all shifts, then reduce the fraction with gcd</t>
        </is>
      </c>
      <c r="K762" s="2" t="inlineStr">
        <is>
          <t xml:space="preserve">Basic / Низове (string)</t>
        </is>
      </c>
      <c r="L762" s="9" t="str">
        <f>HYPERLINK("https://arena.olimpiici.com/#/catalog/375/problem/101035","open problem")</f>
        <v>open problem</v>
      </c>
    </row>
    <row r="763">
      <c r="A763" s="2" t="inlineStr">
        <is>
          <t xml:space="preserve">div3</t>
        </is>
      </c>
      <c r="B763" s="2" t="inlineStr">
        <is>
          <t xml:space="preserve">Winter tournament</t>
        </is>
      </c>
      <c r="C763" s="8" t="inlineStr">
        <is>
          <t xml:space="preserve">D</t>
        </is>
      </c>
      <c r="D763" s="8">
        <v>2017</v>
      </c>
      <c r="E763" s="5">
        <v>3</v>
      </c>
      <c r="F763" s="2" t="inlineStr">
        <is>
          <t xml:space="preserve">Medium</t>
        </is>
      </c>
      <c r="G763" s="2" t="inlineStr">
        <is>
          <t xml:space="preserve">Greedy</t>
        </is>
      </c>
      <c r="H763" s="2" t="inlineStr">
        <is>
          <t xml:space="preserve">Number theory</t>
        </is>
      </c>
      <c r="I763" s="2" t="inlineStr">
        <is>
          <t xml:space="preserve">Strings, Chars, Math</t>
        </is>
      </c>
      <c r="J763" s="2" t="inlineStr">
        <is>
          <t xml:space="preserve">Change the leftmost digit that can be raised so the digit sum is divisible by 3</t>
        </is>
      </c>
      <c r="K763" s="2" t="inlineStr">
        <is>
          <t xml:space="preserve">Математика / Делимост; Bruteforce</t>
        </is>
      </c>
      <c r="L763" s="9" t="str">
        <f>HYPERLINK("https://arena.olimpiici.com/#/catalog/375/problem/101036","open problem")</f>
        <v>open problem</v>
      </c>
    </row>
    <row r="764">
      <c r="A764" s="2" t="inlineStr">
        <is>
          <t xml:space="preserve">courier</t>
        </is>
      </c>
      <c r="B764" s="2" t="inlineStr">
        <is>
          <t xml:space="preserve">Winter tournament</t>
        </is>
      </c>
      <c r="C764" s="8" t="inlineStr">
        <is>
          <t xml:space="preserve">D</t>
        </is>
      </c>
      <c r="D764" s="8">
        <v>2025</v>
      </c>
      <c r="E764" s="4">
        <v>2</v>
      </c>
      <c r="F764" s="2" t="inlineStr">
        <is>
          <t xml:space="preserve">Easy</t>
        </is>
      </c>
      <c r="G764" s="2" t="inlineStr">
        <is>
          <t xml:space="preserve">Sorting</t>
        </is>
      </c>
      <c r="H764" s="2" t="inlineStr">
        <is>
          <t xml:space="preserve">Ad hoc / Observation</t>
        </is>
      </c>
      <c r="I764" s="2" t="inlineStr">
        <is>
          <t xml:space="preserve">Sorting, Structs, Long long</t>
        </is>
      </c>
      <c r="J764" s="2" t="inlineStr">
        <is>
          <t xml:space="preserve">Sort by (|a|+|b|, |a|, index) and report the k-th parcel</t>
        </is>
      </c>
      <c r="K764" s="2" t="inlineStr">
        <is>
          <t xml:space="preserve"/>
        </is>
      </c>
      <c r="L764" s="9" t="str">
        <f>HYPERLINK("https://arena.olimpiici.com/#/catalog/857/problem/102296","open problem")</f>
        <v>open problem</v>
      </c>
    </row>
    <row r="765">
      <c r="A765" s="2" t="inlineStr">
        <is>
          <t xml:space="preserve">sport</t>
        </is>
      </c>
      <c r="B765" s="2" t="inlineStr">
        <is>
          <t xml:space="preserve">Winter tournament</t>
        </is>
      </c>
      <c r="C765" s="8" t="inlineStr">
        <is>
          <t xml:space="preserve">D</t>
        </is>
      </c>
      <c r="D765" s="8">
        <v>2025</v>
      </c>
      <c r="E765" s="6">
        <v>4</v>
      </c>
      <c r="F765" s="2" t="inlineStr">
        <is>
          <t xml:space="preserve">Hard</t>
        </is>
      </c>
      <c r="G765" s="2" t="inlineStr">
        <is>
          <t xml:space="preserve">Number theory</t>
        </is>
      </c>
      <c r="H765" s="2" t="inlineStr">
        <is>
          <t xml:space="preserve">Math / Formula</t>
        </is>
      </c>
      <c r="I765" s="2" t="inlineStr">
        <is>
          <t xml:space="preserve">Math, Long long, Loops</t>
        </is>
      </c>
      <c r="J765" s="2" t="inlineStr">
        <is>
          <t xml:space="preserve">Smallest x with x mod a = 1 and x mod b = b-1: Chinese remainder / search</t>
        </is>
      </c>
      <c r="K765" s="2" t="inlineStr">
        <is>
          <t xml:space="preserve"/>
        </is>
      </c>
      <c r="L765" s="9" t="str">
        <f>HYPERLINK("https://arena.olimpiici.com/#/catalog/857/problem/102297","open problem")</f>
        <v>open problem</v>
      </c>
    </row>
    <row r="766">
      <c r="A766" s="2" t="inlineStr">
        <is>
          <t xml:space="preserve">markers</t>
        </is>
      </c>
      <c r="B766" s="2" t="inlineStr">
        <is>
          <t xml:space="preserve">Winter tournament</t>
        </is>
      </c>
      <c r="C766" s="8" t="inlineStr">
        <is>
          <t xml:space="preserve">D</t>
        </is>
      </c>
      <c r="D766" s="8">
        <v>2025</v>
      </c>
      <c r="E766" s="5">
        <v>3</v>
      </c>
      <c r="F766" s="2" t="inlineStr">
        <is>
          <t xml:space="preserve">Medium</t>
        </is>
      </c>
      <c r="G766" s="2" t="inlineStr">
        <is>
          <t xml:space="preserve">Combinatorics</t>
        </is>
      </c>
      <c r="H766" s="2" t="inlineStr">
        <is>
          <t xml:space="preserve">Math / Formula</t>
        </is>
      </c>
      <c r="I766" s="2" t="inlineStr">
        <is>
          <t xml:space="preserve">Math, Long long, Loops</t>
        </is>
      </c>
      <c r="J766" s="2" t="inlineStr">
        <is>
          <t xml:space="preserve">Count index quadruples satisfying nesting and equal-total-length constraints</t>
        </is>
      </c>
      <c r="K766" s="2" t="inlineStr">
        <is>
          <t xml:space="preserve">Комбинаторика</t>
        </is>
      </c>
      <c r="L766" s="9" t="str">
        <f>HYPERLINK("https://arena.olimpiici.com/#/catalog/857/problem/102298","open problem")</f>
        <v>open problem</v>
      </c>
    </row>
    <row r="767">
      <c r="A767" s="2" t="inlineStr">
        <is>
          <t xml:space="preserve">prices</t>
        </is>
      </c>
      <c r="B767" s="2" t="inlineStr">
        <is>
          <t xml:space="preserve">Winter tournament</t>
        </is>
      </c>
      <c r="C767" s="8" t="inlineStr">
        <is>
          <t xml:space="preserve">D</t>
        </is>
      </c>
      <c r="D767" s="8">
        <v>2026</v>
      </c>
      <c r="E767" s="4">
        <v>2</v>
      </c>
      <c r="F767" s="2" t="inlineStr">
        <is>
          <t xml:space="preserve">Easy</t>
        </is>
      </c>
      <c r="G767" s="2" t="inlineStr">
        <is>
          <t xml:space="preserve">Ad hoc / Observation</t>
        </is>
      </c>
      <c r="H767" s="2" t="inlineStr">
        <is>
          <t xml:space="preserve">Greedy</t>
        </is>
      </c>
      <c r="I767" s="2" t="inlineStr">
        <is>
          <t xml:space="preserve">Loops, Long long, Memory optimization</t>
        </is>
      </c>
      <c r="J767" s="2" t="inlineStr">
        <is>
          <t xml:space="preserve">Track the running minimum price while streaming; best sell minus best buy</t>
        </is>
      </c>
      <c r="K767" s="2" t="inlineStr">
        <is>
          <t xml:space="preserve"/>
        </is>
      </c>
      <c r="L767" s="9" t="str">
        <f>HYPERLINK("https://arena.olimpiici.com/#/catalog/912/problem/102529","open problem")</f>
        <v>open problem</v>
      </c>
    </row>
    <row r="768">
      <c r="A768" s="2" t="inlineStr">
        <is>
          <t xml:space="preserve">bottles</t>
        </is>
      </c>
      <c r="B768" s="2" t="inlineStr">
        <is>
          <t xml:space="preserve">Winter tournament</t>
        </is>
      </c>
      <c r="C768" s="8" t="inlineStr">
        <is>
          <t xml:space="preserve">D</t>
        </is>
      </c>
      <c r="D768" s="8">
        <v>2026</v>
      </c>
      <c r="E768" s="7">
        <v>5</v>
      </c>
      <c r="F768" s="2" t="inlineStr">
        <is>
          <t xml:space="preserve">Very hard</t>
        </is>
      </c>
      <c r="G768" s="2" t="inlineStr">
        <is>
          <t xml:space="preserve">Greedy</t>
        </is>
      </c>
      <c r="H768" s="2" t="inlineStr">
        <is>
          <t xml:space="preserve">Data structures</t>
        </is>
      </c>
      <c r="I768" s="2" t="inlineStr">
        <is>
          <t xml:space="preserve">Sorting, Stacks, Long long</t>
        </is>
      </c>
      <c r="J768" s="2" t="inlineStr">
        <is>
          <t xml:space="preserve">LIFO kilns: nested tempering intervals decide the number of furnaces</t>
        </is>
      </c>
      <c r="K768" s="2" t="inlineStr">
        <is>
          <t xml:space="preserve"/>
        </is>
      </c>
      <c r="L768" s="9" t="str">
        <f>HYPERLINK("https://arena.olimpiici.com/#/catalog/912/problem/102530","open problem")</f>
        <v>open problem</v>
      </c>
    </row>
    <row r="769">
      <c r="A769" s="2" t="inlineStr">
        <is>
          <t xml:space="preserve">metro</t>
        </is>
      </c>
      <c r="B769" s="2" t="inlineStr">
        <is>
          <t xml:space="preserve">Winter tournament</t>
        </is>
      </c>
      <c r="C769" s="8" t="inlineStr">
        <is>
          <t xml:space="preserve">D</t>
        </is>
      </c>
      <c r="D769" s="8">
        <v>2026</v>
      </c>
      <c r="E769" s="5">
        <v>3</v>
      </c>
      <c r="F769" s="2" t="inlineStr">
        <is>
          <t xml:space="preserve">Medium</t>
        </is>
      </c>
      <c r="G769" s="2" t="inlineStr">
        <is>
          <t xml:space="preserve">Greedy</t>
        </is>
      </c>
      <c r="H769" s="2" t="inlineStr">
        <is>
          <t xml:space="preserve">Dynamic programming</t>
        </is>
      </c>
      <c r="I769" s="2" t="inlineStr">
        <is>
          <t xml:space="preserve">Arrays, Binary search, Loops</t>
        </is>
      </c>
      <c r="J769" s="2" t="inlineStr">
        <is>
          <t xml:space="preserve">Compare walking all local stops with hopping between the two nearest big stops</t>
        </is>
      </c>
      <c r="K769" s="2" t="inlineStr">
        <is>
          <t xml:space="preserve"/>
        </is>
      </c>
      <c r="L769" s="9" t="str">
        <f>HYPERLINK("https://arena.olimpiici.com/#/catalog/912/problem/102531","open problem")</f>
        <v>open problem</v>
      </c>
    </row>
  </sheetData>
  <autoFilter ref="A1:L769"/>
</worksheet>
</file>

<file path=xl/worksheets/sheet2.xml><?xml version="1.0" encoding="utf-8"?>
<worksheet xmlns="http://schemas.openxmlformats.org/spreadsheetml/2006/main">
  <dimension ref="A1:B139"/>
  <sheetViews>
    <sheetView workbookViewId="0"/>
  </sheetViews>
  <sheetFormatPr defaultRowHeight="15"/>
  <cols>
    <col min="1" max="1" width="42" customWidth="1"/>
    <col min="2" max="2" width="12" customWidth="1"/>
  </cols>
  <sheetData>
    <row r="1" ht="22" customHeight="1">
      <c r="A1" s="1" t="inlineStr">
        <is>
          <t xml:space="preserve">Summary of the classified problem set</t>
        </is>
      </c>
      <c r="B1" s="1" t="inlineStr">
        <is>
          <t xml:space="preserve"/>
        </is>
      </c>
    </row>
    <row r="2">
      <c r="A2" s="2" t="inlineStr">
        <is>
          <t xml:space="preserve">Total problems</t>
        </is>
      </c>
      <c r="B2" s="8">
        <v>768</v>
      </c>
    </row>
    <row r="4" ht="20" customHeight="1">
      <c r="A4" s="10" t="inlineStr">
        <is>
          <t xml:space="preserve">By difficulty</t>
        </is>
      </c>
      <c r="B4" s="10" t="inlineStr">
        <is>
          <t xml:space="preserve">count</t>
        </is>
      </c>
    </row>
    <row r="5">
      <c r="A5" s="2" t="inlineStr">
        <is>
          <t xml:space="preserve">1 - Very easy</t>
        </is>
      </c>
      <c r="B5" s="8">
        <v>18</v>
      </c>
    </row>
    <row r="6">
      <c r="A6" s="2" t="inlineStr">
        <is>
          <t xml:space="preserve">2 - Easy</t>
        </is>
      </c>
      <c r="B6" s="8">
        <v>127</v>
      </c>
    </row>
    <row r="7">
      <c r="A7" s="2" t="inlineStr">
        <is>
          <t xml:space="preserve">3 - Medium</t>
        </is>
      </c>
      <c r="B7" s="8">
        <v>285</v>
      </c>
    </row>
    <row r="8">
      <c r="A8" s="2" t="inlineStr">
        <is>
          <t xml:space="preserve">4 - Hard</t>
        </is>
      </c>
      <c r="B8" s="8">
        <v>245</v>
      </c>
    </row>
    <row r="9">
      <c r="A9" s="2" t="inlineStr">
        <is>
          <t xml:space="preserve">5 - Very hard</t>
        </is>
      </c>
      <c r="B9" s="8">
        <v>93</v>
      </c>
    </row>
    <row r="11" ht="20" customHeight="1">
      <c r="A11" s="10" t="inlineStr">
        <is>
          <t xml:space="preserve">By competition</t>
        </is>
      </c>
      <c r="B11" s="10" t="inlineStr">
        <is>
          <t xml:space="preserve">count</t>
        </is>
      </c>
    </row>
    <row r="12">
      <c r="A12" s="2" t="inlineStr">
        <is>
          <t xml:space="preserve">NOI - National round</t>
        </is>
      </c>
      <c r="B12" s="8">
        <v>204</v>
      </c>
    </row>
    <row r="13">
      <c r="A13" s="2" t="inlineStr">
        <is>
          <t xml:space="preserve">Autumn tournament</t>
        </is>
      </c>
      <c r="B13" s="8">
        <v>114</v>
      </c>
    </row>
    <row r="14">
      <c r="A14" s="2" t="inlineStr">
        <is>
          <t xml:space="preserve">Spring tournament</t>
        </is>
      </c>
      <c r="B14" s="8">
        <v>110</v>
      </c>
    </row>
    <row r="15">
      <c r="A15" s="2" t="inlineStr">
        <is>
          <t xml:space="preserve">NOI - Municipal round</t>
        </is>
      </c>
      <c r="B15" s="8">
        <v>108</v>
      </c>
    </row>
    <row r="16">
      <c r="A16" s="2" t="inlineStr">
        <is>
          <t xml:space="preserve">NOI - Regional round</t>
        </is>
      </c>
      <c r="B16" s="8">
        <v>108</v>
      </c>
    </row>
    <row r="17">
      <c r="A17" s="2" t="inlineStr">
        <is>
          <t xml:space="preserve">Winter tournament</t>
        </is>
      </c>
      <c r="B17" s="8">
        <v>72</v>
      </c>
    </row>
    <row r="18">
      <c r="A18" s="2" t="inlineStr">
        <is>
          <t xml:space="preserve">Summer tournament</t>
        </is>
      </c>
      <c r="B18" s="8">
        <v>52</v>
      </c>
    </row>
    <row r="20" ht="20" customHeight="1">
      <c r="A20" s="10" t="inlineStr">
        <is>
          <t xml:space="preserve">By group</t>
        </is>
      </c>
      <c r="B20" s="10" t="inlineStr">
        <is>
          <t xml:space="preserve">count</t>
        </is>
      </c>
    </row>
    <row r="21">
      <c r="A21" s="2" t="inlineStr">
        <is>
          <t xml:space="preserve">Group C</t>
        </is>
      </c>
      <c r="B21" s="8">
        <v>387</v>
      </c>
    </row>
    <row r="22">
      <c r="A22" s="2" t="inlineStr">
        <is>
          <t xml:space="preserve">Group D</t>
        </is>
      </c>
      <c r="B22" s="8">
        <v>381</v>
      </c>
    </row>
    <row r="24" ht="20" customHeight="1">
      <c r="A24" s="10" t="inlineStr">
        <is>
          <t xml:space="preserve">By primary algorithm</t>
        </is>
      </c>
      <c r="B24" s="10" t="inlineStr">
        <is>
          <t xml:space="preserve">count</t>
        </is>
      </c>
    </row>
    <row r="25">
      <c r="A25" s="2" t="inlineStr">
        <is>
          <t xml:space="preserve">Number theory</t>
        </is>
      </c>
      <c r="B25" s="8">
        <v>87</v>
      </c>
    </row>
    <row r="26">
      <c r="A26" s="2" t="inlineStr">
        <is>
          <t xml:space="preserve">Dynamic programming</t>
        </is>
      </c>
      <c r="B26" s="8">
        <v>80</v>
      </c>
    </row>
    <row r="27">
      <c r="A27" s="2" t="inlineStr">
        <is>
          <t xml:space="preserve">Greedy</t>
        </is>
      </c>
      <c r="B27" s="8">
        <v>60</v>
      </c>
    </row>
    <row r="28">
      <c r="A28" s="2" t="inlineStr">
        <is>
          <t xml:space="preserve">Math / Formula</t>
        </is>
      </c>
      <c r="B28" s="8">
        <v>58</v>
      </c>
    </row>
    <row r="29">
      <c r="A29" s="2" t="inlineStr">
        <is>
          <t xml:space="preserve">Counting / Frequency arrays</t>
        </is>
      </c>
      <c r="B29" s="8">
        <v>43</v>
      </c>
    </row>
    <row r="30">
      <c r="A30" s="2" t="inlineStr">
        <is>
          <t xml:space="preserve">Graph traversal (BFS/DFS)</t>
        </is>
      </c>
      <c r="B30" s="8">
        <v>42</v>
      </c>
    </row>
    <row r="31">
      <c r="A31" s="2" t="inlineStr">
        <is>
          <t xml:space="preserve">Implementation / Simulation</t>
        </is>
      </c>
      <c r="B31" s="8">
        <v>40</v>
      </c>
    </row>
    <row r="32">
      <c r="A32" s="2" t="inlineStr">
        <is>
          <t xml:space="preserve">Sorting</t>
        </is>
      </c>
      <c r="B32" s="8">
        <v>38</v>
      </c>
    </row>
    <row r="33">
      <c r="A33" s="2" t="inlineStr">
        <is>
          <t xml:space="preserve">Data structures</t>
        </is>
      </c>
      <c r="B33" s="8">
        <v>31</v>
      </c>
    </row>
    <row r="34">
      <c r="A34" s="2" t="inlineStr">
        <is>
          <t xml:space="preserve">Combinatorics</t>
        </is>
      </c>
      <c r="B34" s="8">
        <v>29</v>
      </c>
    </row>
    <row r="35">
      <c r="A35" s="2" t="inlineStr">
        <is>
          <t xml:space="preserve">Brute force</t>
        </is>
      </c>
      <c r="B35" s="8">
        <v>28</v>
      </c>
    </row>
    <row r="36">
      <c r="A36" s="2" t="inlineStr">
        <is>
          <t xml:space="preserve">Two pointers / Sliding window</t>
        </is>
      </c>
      <c r="B36" s="8">
        <v>27</v>
      </c>
    </row>
    <row r="37">
      <c r="A37" s="2" t="inlineStr">
        <is>
          <t xml:space="preserve">Prefix sums</t>
        </is>
      </c>
      <c r="B37" s="8">
        <v>26</v>
      </c>
    </row>
    <row r="38">
      <c r="A38" s="2" t="inlineStr">
        <is>
          <t xml:space="preserve">Big numbers</t>
        </is>
      </c>
      <c r="B38" s="8">
        <v>25</v>
      </c>
    </row>
    <row r="39">
      <c r="A39" s="2" t="inlineStr">
        <is>
          <t xml:space="preserve">Grid/Matrix</t>
        </is>
      </c>
      <c r="B39" s="8">
        <v>24</v>
      </c>
    </row>
    <row r="40">
      <c r="A40" s="2" t="inlineStr">
        <is>
          <t xml:space="preserve">String processing</t>
        </is>
      </c>
      <c r="B40" s="8">
        <v>24</v>
      </c>
    </row>
    <row r="41">
      <c r="A41" s="2" t="inlineStr">
        <is>
          <t xml:space="preserve">Binary search</t>
        </is>
      </c>
      <c r="B41" s="8">
        <v>20</v>
      </c>
    </row>
    <row r="42">
      <c r="A42" s="2" t="inlineStr">
        <is>
          <t xml:space="preserve">Geometry</t>
        </is>
      </c>
      <c r="B42" s="8">
        <v>12</v>
      </c>
    </row>
    <row r="43">
      <c r="A43" s="2" t="inlineStr">
        <is>
          <t xml:space="preserve">Recursion / Backtracking</t>
        </is>
      </c>
      <c r="B43" s="8">
        <v>12</v>
      </c>
    </row>
    <row r="44">
      <c r="A44" s="2" t="inlineStr">
        <is>
          <t xml:space="preserve">Ad hoc / Observation</t>
        </is>
      </c>
      <c r="B44" s="8">
        <v>11</v>
      </c>
    </row>
    <row r="45">
      <c r="A45" s="2" t="inlineStr">
        <is>
          <t xml:space="preserve">Constructive</t>
        </is>
      </c>
      <c r="B45" s="8">
        <v>11</v>
      </c>
    </row>
    <row r="46">
      <c r="A46" s="2" t="inlineStr">
        <is>
          <t xml:space="preserve">Bit manipulation</t>
        </is>
      </c>
      <c r="B46" s="8">
        <v>8</v>
      </c>
    </row>
    <row r="47">
      <c r="A47" s="2" t="inlineStr">
        <is>
          <t xml:space="preserve">Shortest path</t>
        </is>
      </c>
      <c r="B47" s="8">
        <v>8</v>
      </c>
    </row>
    <row r="48">
      <c r="A48" s="2" t="inlineStr">
        <is>
          <t xml:space="preserve">Hashing / Maps</t>
        </is>
      </c>
      <c r="B48" s="8">
        <v>7</v>
      </c>
    </row>
    <row r="49">
      <c r="A49" s="2" t="inlineStr">
        <is>
          <t xml:space="preserve">Trees</t>
        </is>
      </c>
      <c r="B49" s="8">
        <v>7</v>
      </c>
    </row>
    <row r="50">
      <c r="A50" s="2" t="inlineStr">
        <is>
          <t xml:space="preserve">Flood fill</t>
        </is>
      </c>
      <c r="B50" s="8">
        <v>6</v>
      </c>
    </row>
    <row r="51">
      <c r="A51" s="2" t="inlineStr">
        <is>
          <t xml:space="preserve">Game theory</t>
        </is>
      </c>
      <c r="B51" s="8">
        <v>4</v>
      </c>
    </row>
    <row r="53" ht="20" customHeight="1">
      <c r="A53" s="10" t="inlineStr">
        <is>
          <t xml:space="preserve">Algorithm (primary or secondary)</t>
        </is>
      </c>
      <c r="B53" s="10" t="inlineStr">
        <is>
          <t xml:space="preserve">count</t>
        </is>
      </c>
    </row>
    <row r="54">
      <c r="A54" s="2" t="inlineStr">
        <is>
          <t xml:space="preserve">Math / Formula</t>
        </is>
      </c>
      <c r="B54" s="8">
        <v>146</v>
      </c>
    </row>
    <row r="55">
      <c r="A55" s="2" t="inlineStr">
        <is>
          <t xml:space="preserve">Number theory</t>
        </is>
      </c>
      <c r="B55" s="8">
        <v>136</v>
      </c>
    </row>
    <row r="56">
      <c r="A56" s="2" t="inlineStr">
        <is>
          <t xml:space="preserve">Greedy</t>
        </is>
      </c>
      <c r="B56" s="8">
        <v>118</v>
      </c>
    </row>
    <row r="57">
      <c r="A57" s="2" t="inlineStr">
        <is>
          <t xml:space="preserve">Counting / Frequency arrays</t>
        </is>
      </c>
      <c r="B57" s="8">
        <v>113</v>
      </c>
    </row>
    <row r="58">
      <c r="A58" s="2" t="inlineStr">
        <is>
          <t xml:space="preserve">Dynamic programming</t>
        </is>
      </c>
      <c r="B58" s="8">
        <v>101</v>
      </c>
    </row>
    <row r="59">
      <c r="A59" s="2" t="inlineStr">
        <is>
          <t xml:space="preserve">Implementation / Simulation</t>
        </is>
      </c>
      <c r="B59" s="8">
        <v>86</v>
      </c>
    </row>
    <row r="60">
      <c r="A60" s="2" t="inlineStr">
        <is>
          <t xml:space="preserve">Sorting</t>
        </is>
      </c>
      <c r="B60" s="8">
        <v>80</v>
      </c>
    </row>
    <row r="61">
      <c r="A61" s="2" t="inlineStr">
        <is>
          <t xml:space="preserve">Prefix sums</t>
        </is>
      </c>
      <c r="B61" s="8">
        <v>72</v>
      </c>
    </row>
    <row r="62">
      <c r="A62" s="2" t="inlineStr">
        <is>
          <t xml:space="preserve">String processing</t>
        </is>
      </c>
      <c r="B62" s="8">
        <v>67</v>
      </c>
    </row>
    <row r="63">
      <c r="A63" s="2" t="inlineStr">
        <is>
          <t xml:space="preserve">Grid/Matrix</t>
        </is>
      </c>
      <c r="B63" s="8">
        <v>62</v>
      </c>
    </row>
    <row r="64">
      <c r="A64" s="2" t="inlineStr">
        <is>
          <t xml:space="preserve">Graph traversal (BFS/DFS)</t>
        </is>
      </c>
      <c r="B64" s="8">
        <v>60</v>
      </c>
    </row>
    <row r="65">
      <c r="A65" s="2" t="inlineStr">
        <is>
          <t xml:space="preserve">Brute force</t>
        </is>
      </c>
      <c r="B65" s="8">
        <v>57</v>
      </c>
    </row>
    <row r="66">
      <c r="A66" s="2" t="inlineStr">
        <is>
          <t xml:space="preserve">Combinatorics</t>
        </is>
      </c>
      <c r="B66" s="8">
        <v>56</v>
      </c>
    </row>
    <row r="67">
      <c r="A67" s="2" t="inlineStr">
        <is>
          <t xml:space="preserve">Data structures</t>
        </is>
      </c>
      <c r="B67" s="8">
        <v>52</v>
      </c>
    </row>
    <row r="68">
      <c r="A68" s="2" t="inlineStr">
        <is>
          <t xml:space="preserve">Ad hoc / Observation</t>
        </is>
      </c>
      <c r="B68" s="8">
        <v>47</v>
      </c>
    </row>
    <row r="69">
      <c r="A69" s="2" t="inlineStr">
        <is>
          <t xml:space="preserve">Two pointers / Sliding window</t>
        </is>
      </c>
      <c r="B69" s="8">
        <v>46</v>
      </c>
    </row>
    <row r="70">
      <c r="A70" s="2" t="inlineStr">
        <is>
          <t xml:space="preserve">Big numbers</t>
        </is>
      </c>
      <c r="B70" s="8">
        <v>40</v>
      </c>
    </row>
    <row r="71">
      <c r="A71" s="2" t="inlineStr">
        <is>
          <t xml:space="preserve">Constructive</t>
        </is>
      </c>
      <c r="B71" s="8">
        <v>38</v>
      </c>
    </row>
    <row r="72">
      <c r="A72" s="2" t="inlineStr">
        <is>
          <t xml:space="preserve">Binary search</t>
        </is>
      </c>
      <c r="B72" s="8">
        <v>35</v>
      </c>
    </row>
    <row r="73">
      <c r="A73" s="2" t="inlineStr">
        <is>
          <t xml:space="preserve">Bit manipulation</t>
        </is>
      </c>
      <c r="B73" s="8">
        <v>24</v>
      </c>
    </row>
    <row r="74">
      <c r="A74" s="2" t="inlineStr">
        <is>
          <t xml:space="preserve">Hashing / Maps</t>
        </is>
      </c>
      <c r="B74" s="8">
        <v>23</v>
      </c>
    </row>
    <row r="75">
      <c r="A75" s="2" t="inlineStr">
        <is>
          <t xml:space="preserve">Geometry</t>
        </is>
      </c>
      <c r="B75" s="8">
        <v>19</v>
      </c>
    </row>
    <row r="76">
      <c r="A76" s="2" t="inlineStr">
        <is>
          <t xml:space="preserve">Recursion / Backtracking</t>
        </is>
      </c>
      <c r="B76" s="8">
        <v>18</v>
      </c>
    </row>
    <row r="77">
      <c r="A77" s="2" t="inlineStr">
        <is>
          <t xml:space="preserve">Shortest path</t>
        </is>
      </c>
      <c r="B77" s="8">
        <v>14</v>
      </c>
    </row>
    <row r="78">
      <c r="A78" s="2" t="inlineStr">
        <is>
          <t xml:space="preserve">Trees</t>
        </is>
      </c>
      <c r="B78" s="8">
        <v>10</v>
      </c>
    </row>
    <row r="79">
      <c r="A79" s="2" t="inlineStr">
        <is>
          <t xml:space="preserve">Game theory</t>
        </is>
      </c>
      <c r="B79" s="8">
        <v>7</v>
      </c>
    </row>
    <row r="80">
      <c r="A80" s="2" t="inlineStr">
        <is>
          <t xml:space="preserve">Flood fill</t>
        </is>
      </c>
      <c r="B80" s="8">
        <v>6</v>
      </c>
    </row>
    <row r="82" ht="20" customHeight="1">
      <c r="A82" s="10" t="inlineStr">
        <is>
          <t xml:space="preserve">By basic technique</t>
        </is>
      </c>
      <c r="B82" s="10" t="inlineStr">
        <is>
          <t xml:space="preserve">count</t>
        </is>
      </c>
    </row>
    <row r="83">
      <c r="A83" s="2" t="inlineStr">
        <is>
          <t xml:space="preserve">Arrays</t>
        </is>
      </c>
      <c r="B83" s="8">
        <v>340</v>
      </c>
    </row>
    <row r="84">
      <c r="A84" s="2" t="inlineStr">
        <is>
          <t xml:space="preserve">Long long</t>
        </is>
      </c>
      <c r="B84" s="8">
        <v>318</v>
      </c>
    </row>
    <row r="85">
      <c r="A85" s="2" t="inlineStr">
        <is>
          <t xml:space="preserve">Loops</t>
        </is>
      </c>
      <c r="B85" s="8">
        <v>260</v>
      </c>
    </row>
    <row r="86">
      <c r="A86" s="2" t="inlineStr">
        <is>
          <t xml:space="preserve">Math</t>
        </is>
      </c>
      <c r="B86" s="8">
        <v>227</v>
      </c>
    </row>
    <row r="87">
      <c r="A87" s="2" t="inlineStr">
        <is>
          <t xml:space="preserve">Strings</t>
        </is>
      </c>
      <c r="B87" s="8">
        <v>173</v>
      </c>
    </row>
    <row r="88">
      <c r="A88" s="2" t="inlineStr">
        <is>
          <t xml:space="preserve">Sorting</t>
        </is>
      </c>
      <c r="B88" s="8">
        <v>114</v>
      </c>
    </row>
    <row r="89">
      <c r="A89" s="2" t="inlineStr">
        <is>
          <t xml:space="preserve">2D arrays</t>
        </is>
      </c>
      <c r="B89" s="8">
        <v>109</v>
      </c>
    </row>
    <row r="90">
      <c r="A90" s="2" t="inlineStr">
        <is>
          <t xml:space="preserve">Counting array</t>
        </is>
      </c>
      <c r="B90" s="8">
        <v>97</v>
      </c>
    </row>
    <row r="91">
      <c r="A91" s="2" t="inlineStr">
        <is>
          <t xml:space="preserve">Vectors</t>
        </is>
      </c>
      <c r="B91" s="8">
        <v>76</v>
      </c>
    </row>
    <row r="92">
      <c r="A92" s="2" t="inlineStr">
        <is>
          <t xml:space="preserve">Grid/Matrix</t>
        </is>
      </c>
      <c r="B92" s="8">
        <v>63</v>
      </c>
    </row>
    <row r="93">
      <c r="A93" s="2" t="inlineStr">
        <is>
          <t xml:space="preserve">Prefix sums</t>
        </is>
      </c>
      <c r="B93" s="8">
        <v>62</v>
      </c>
    </row>
    <row r="94">
      <c r="A94" s="2" t="inlineStr">
        <is>
          <t xml:space="preserve">Chars</t>
        </is>
      </c>
      <c r="B94" s="8">
        <v>49</v>
      </c>
    </row>
    <row r="95">
      <c r="A95" s="2" t="inlineStr">
        <is>
          <t xml:space="preserve">Big integers</t>
        </is>
      </c>
      <c r="B95" s="8">
        <v>45</v>
      </c>
    </row>
    <row r="96">
      <c r="A96" s="2" t="inlineStr">
        <is>
          <t xml:space="preserve">Two pointers</t>
        </is>
      </c>
      <c r="B96" s="8">
        <v>40</v>
      </c>
    </row>
    <row r="97">
      <c r="A97" s="2" t="inlineStr">
        <is>
          <t xml:space="preserve">Recursion</t>
        </is>
      </c>
      <c r="B97" s="8">
        <v>37</v>
      </c>
    </row>
    <row r="98">
      <c r="A98" s="2" t="inlineStr">
        <is>
          <t xml:space="preserve">Bitmask</t>
        </is>
      </c>
      <c r="B98" s="8">
        <v>35</v>
      </c>
    </row>
    <row r="99">
      <c r="A99" s="2" t="inlineStr">
        <is>
          <t xml:space="preserve">Modular arithmetic</t>
        </is>
      </c>
      <c r="B99" s="8">
        <v>30</v>
      </c>
    </row>
    <row r="100">
      <c r="A100" s="2" t="inlineStr">
        <is>
          <t xml:space="preserve">Queues</t>
        </is>
      </c>
      <c r="B100" s="8">
        <v>29</v>
      </c>
    </row>
    <row r="101">
      <c r="A101" s="2" t="inlineStr">
        <is>
          <t xml:space="preserve">Stacks</t>
        </is>
      </c>
      <c r="B101" s="8">
        <v>25</v>
      </c>
    </row>
    <row r="102">
      <c r="A102" s="2" t="inlineStr">
        <is>
          <t xml:space="preserve">I/O parsing</t>
        </is>
      </c>
      <c r="B102" s="8">
        <v>20</v>
      </c>
    </row>
    <row r="103">
      <c r="A103" s="2" t="inlineStr">
        <is>
          <t xml:space="preserve">Maps</t>
        </is>
      </c>
      <c r="B103" s="8">
        <v>20</v>
      </c>
    </row>
    <row r="104">
      <c r="A104" s="2" t="inlineStr">
        <is>
          <t xml:space="preserve">Memory optimization</t>
        </is>
      </c>
      <c r="B104" s="8">
        <v>18</v>
      </c>
    </row>
    <row r="105">
      <c r="A105" s="2" t="inlineStr">
        <is>
          <t xml:space="preserve">Structs</t>
        </is>
      </c>
      <c r="B105" s="8">
        <v>18</v>
      </c>
    </row>
    <row r="106">
      <c r="A106" s="2" t="inlineStr">
        <is>
          <t xml:space="preserve">Sets</t>
        </is>
      </c>
      <c r="B106" s="8">
        <v>16</v>
      </c>
    </row>
    <row r="107">
      <c r="A107" s="2" t="inlineStr">
        <is>
          <t xml:space="preserve">Priority queue</t>
        </is>
      </c>
      <c r="B107" s="8">
        <v>14</v>
      </c>
    </row>
    <row r="108">
      <c r="A108" s="2" t="inlineStr">
        <is>
          <t xml:space="preserve">Nested loops</t>
        </is>
      </c>
      <c r="B108" s="8">
        <v>13</v>
      </c>
    </row>
    <row r="109">
      <c r="A109" s="2" t="inlineStr">
        <is>
          <t xml:space="preserve">Pairs</t>
        </is>
      </c>
      <c r="B109" s="8">
        <v>11</v>
      </c>
    </row>
    <row r="110">
      <c r="A110" s="2" t="inlineStr">
        <is>
          <t xml:space="preserve">Binary search</t>
        </is>
      </c>
      <c r="B110" s="8">
        <v>10</v>
      </c>
    </row>
    <row r="111">
      <c r="A111" s="2" t="inlineStr">
        <is>
          <t xml:space="preserve">Dates</t>
        </is>
      </c>
      <c r="B111" s="8">
        <v>10</v>
      </c>
    </row>
    <row r="112">
      <c r="A112" s="2" t="inlineStr">
        <is>
          <t xml:space="preserve">3D arrays</t>
        </is>
      </c>
      <c r="B112" s="8">
        <v>3</v>
      </c>
    </row>
    <row r="113">
      <c r="A113" s="2" t="inlineStr">
        <is>
          <t xml:space="preserve">Deque</t>
        </is>
      </c>
      <c r="B113" s="8">
        <v>3</v>
      </c>
    </row>
    <row r="114">
      <c r="A114" s="2" t="inlineStr">
        <is>
          <t xml:space="preserve">File I/O</t>
        </is>
      </c>
      <c r="B114" s="8">
        <v>3</v>
      </c>
    </row>
    <row r="115">
      <c r="A115" s="2" t="inlineStr">
        <is>
          <t xml:space="preserve">Hashing</t>
        </is>
      </c>
      <c r="B115" s="8">
        <v>1</v>
      </c>
    </row>
    <row r="116">
      <c r="A116" s="2" t="inlineStr">
        <is>
          <t xml:space="preserve">Linked list</t>
        </is>
      </c>
      <c r="B116" s="8">
        <v>1</v>
      </c>
    </row>
    <row r="118" ht="20" customHeight="1">
      <c r="A118" s="10" t="inlineStr">
        <is>
          <t xml:space="preserve">By year</t>
        </is>
      </c>
      <c r="B118" s="10" t="inlineStr">
        <is>
          <t xml:space="preserve">count</t>
        </is>
      </c>
    </row>
    <row r="119">
      <c r="A119" s="2">
        <v>2007</v>
      </c>
      <c r="B119" s="8">
        <v>6</v>
      </c>
    </row>
    <row r="120">
      <c r="A120" s="2">
        <v>2008</v>
      </c>
      <c r="B120" s="8">
        <v>18</v>
      </c>
    </row>
    <row r="121">
      <c r="A121" s="2">
        <v>2009</v>
      </c>
      <c r="B121" s="8">
        <v>42</v>
      </c>
    </row>
    <row r="122">
      <c r="A122" s="2">
        <v>2010</v>
      </c>
      <c r="B122" s="8">
        <v>42</v>
      </c>
    </row>
    <row r="123">
      <c r="A123" s="2">
        <v>2011</v>
      </c>
      <c r="B123" s="8">
        <v>42</v>
      </c>
    </row>
    <row r="124">
      <c r="A124" s="2">
        <v>2012</v>
      </c>
      <c r="B124" s="8">
        <v>42</v>
      </c>
    </row>
    <row r="125">
      <c r="A125" s="2">
        <v>2013</v>
      </c>
      <c r="B125" s="8">
        <v>42</v>
      </c>
    </row>
    <row r="126">
      <c r="A126" s="2">
        <v>2014</v>
      </c>
      <c r="B126" s="8">
        <v>42</v>
      </c>
    </row>
    <row r="127">
      <c r="A127" s="2">
        <v>2015</v>
      </c>
      <c r="B127" s="8">
        <v>42</v>
      </c>
    </row>
    <row r="128">
      <c r="A128" s="2">
        <v>2016</v>
      </c>
      <c r="B128" s="8">
        <v>42</v>
      </c>
    </row>
    <row r="129">
      <c r="A129" s="2">
        <v>2017</v>
      </c>
      <c r="B129" s="8">
        <v>36</v>
      </c>
    </row>
    <row r="130">
      <c r="A130" s="2">
        <v>2018</v>
      </c>
      <c r="B130" s="8">
        <v>44</v>
      </c>
    </row>
    <row r="131">
      <c r="A131" s="2">
        <v>2019</v>
      </c>
      <c r="B131" s="8">
        <v>46</v>
      </c>
    </row>
    <row r="132">
      <c r="A132" s="2">
        <v>2020</v>
      </c>
      <c r="B132" s="8">
        <v>24</v>
      </c>
    </row>
    <row r="133">
      <c r="A133" s="2">
        <v>2021</v>
      </c>
      <c r="B133" s="8">
        <v>42</v>
      </c>
    </row>
    <row r="134">
      <c r="A134" s="2">
        <v>2022</v>
      </c>
      <c r="B134" s="8">
        <v>42</v>
      </c>
    </row>
    <row r="135">
      <c r="A135" s="2">
        <v>2023</v>
      </c>
      <c r="B135" s="8">
        <v>42</v>
      </c>
    </row>
    <row r="136">
      <c r="A136" s="2">
        <v>2024</v>
      </c>
      <c r="B136" s="8">
        <v>42</v>
      </c>
    </row>
    <row r="137">
      <c r="A137" s="2">
        <v>2025</v>
      </c>
      <c r="B137" s="8">
        <v>48</v>
      </c>
    </row>
    <row r="138">
      <c r="A138" s="2">
        <v>2026</v>
      </c>
      <c r="B138" s="8">
        <v>42</v>
      </c>
    </row>
  </sheetData>
</worksheet>
</file>